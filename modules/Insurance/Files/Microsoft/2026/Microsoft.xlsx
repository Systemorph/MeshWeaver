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stemorph-my.sharepoint.com/personal/rbuergi_systemorph_com/Documents/Desktop/"/>
    </mc:Choice>
  </mc:AlternateContent>
  <xr:revisionPtr revIDLastSave="2" documentId="8_{37CFED4D-9876-4514-8893-9A71107E03D1}" xr6:coauthVersionLast="47" xr6:coauthVersionMax="47" xr10:uidLastSave="{D6A33AB4-E925-45BD-839C-BAEDD97ED29B}"/>
  <bookViews>
    <workbookView xWindow="6130" yWindow="3400" windowWidth="18720" windowHeight="12190" xr2:uid="{74B429DF-FE2F-4D9F-BEF1-C117811C90CF}"/>
  </bookViews>
  <sheets>
    <sheet name="2024 PDBI Values (Final)" sheetId="1" r:id="rId1"/>
  </sheets>
  <definedNames>
    <definedName name="_xlnm._FilterDatabase" localSheetId="0" hidden="1">'2024 PDBI Values (Final)'!$B$1:$R$73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  <definedName name="QuickView_QuickView3">#REF!</definedName>
    <definedName name="QuickView_QuickView3_ColHeader">#REF!</definedName>
    <definedName name="QuickView_QuickView3_Data">#REF!</definedName>
    <definedName name="QuickView_QuickView3_RowHeader">#REF!</definedName>
    <definedName name="QuickView_QuickView3_UpperLeft">#REF!</definedName>
    <definedName name="QuickView_QuickView4">#REF!</definedName>
    <definedName name="QuickView_QuickView4_ColHeader">#REF!</definedName>
    <definedName name="QuickView_QuickView4_Data">#REF!</definedName>
    <definedName name="QuickView_QuickView4_RowHeader">#REF!</definedName>
    <definedName name="QuickView_QuickView4_UpperLef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O72" i="1"/>
  <c r="N72" i="1"/>
  <c r="M72" i="1"/>
  <c r="L72" i="1"/>
  <c r="K72" i="1"/>
  <c r="J72" i="1"/>
  <c r="I72" i="1"/>
  <c r="H72" i="1"/>
  <c r="G72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" i="1"/>
  <c r="Q72" i="1" s="1"/>
  <c r="C2" i="1" l="1"/>
  <c r="C4" i="1" s="1"/>
</calcChain>
</file>

<file path=xl/sharedStrings.xml><?xml version="1.0" encoding="utf-8"?>
<sst xmlns="http://schemas.openxmlformats.org/spreadsheetml/2006/main" count="341" uniqueCount="254">
  <si>
    <t>Currency: GBP</t>
  </si>
  <si>
    <t>Total Property Damage Value</t>
  </si>
  <si>
    <t>Total Business Interruption Value</t>
  </si>
  <si>
    <t>Total PD + BI Value</t>
  </si>
  <si>
    <t>Country</t>
  </si>
  <si>
    <t>Plant code</t>
  </si>
  <si>
    <t>Plant Description</t>
  </si>
  <si>
    <t>Plant Type</t>
  </si>
  <si>
    <t>Property Address</t>
  </si>
  <si>
    <t>Stock (Avg Jan - Nov 2023)</t>
  </si>
  <si>
    <t>Buildings</t>
  </si>
  <si>
    <t>Fixtures &amp; Fittings</t>
  </si>
  <si>
    <t>IT Equipment</t>
  </si>
  <si>
    <t>Land</t>
  </si>
  <si>
    <t>Leasehold Improv.</t>
  </si>
  <si>
    <t>Plant &amp; Equipment</t>
  </si>
  <si>
    <t>Tooling</t>
  </si>
  <si>
    <t>Workshop Equipment</t>
  </si>
  <si>
    <t>2024 Rent Forecast</t>
  </si>
  <si>
    <t>PD Total</t>
  </si>
  <si>
    <t>United Kingdom</t>
  </si>
  <si>
    <t>Office</t>
  </si>
  <si>
    <t>Mexico</t>
  </si>
  <si>
    <t>Canada</t>
  </si>
  <si>
    <t>Ireland</t>
  </si>
  <si>
    <t>Germany</t>
  </si>
  <si>
    <t>France</t>
  </si>
  <si>
    <t>Spain</t>
  </si>
  <si>
    <t>Switzerland</t>
  </si>
  <si>
    <t>Netherlands</t>
  </si>
  <si>
    <t>Sweden</t>
  </si>
  <si>
    <t>Malaysia</t>
  </si>
  <si>
    <t>Philippines</t>
  </si>
  <si>
    <t>India</t>
  </si>
  <si>
    <t>China</t>
  </si>
  <si>
    <t>Japan</t>
  </si>
  <si>
    <t>Singapore</t>
  </si>
  <si>
    <t>Australia</t>
  </si>
  <si>
    <t>New Zealand</t>
  </si>
  <si>
    <t>Hong Kong</t>
  </si>
  <si>
    <t>Taiwan</t>
  </si>
  <si>
    <t>Total (GBP)</t>
  </si>
  <si>
    <t>Microsoft Campus - Redmond</t>
  </si>
  <si>
    <t>Headquarters</t>
  </si>
  <si>
    <t>United States</t>
  </si>
  <si>
    <t>Microsoft Silicon Valley Campus</t>
  </si>
  <si>
    <t>Microsoft New York</t>
  </si>
  <si>
    <t>Microsoft Cambridge</t>
  </si>
  <si>
    <t>Research Lab</t>
  </si>
  <si>
    <t>Microsoft Vancouver</t>
  </si>
  <si>
    <t>Microsoft Toronto</t>
  </si>
  <si>
    <t>Microsoft Atlanta Data Center</t>
  </si>
  <si>
    <t>Data Center</t>
  </si>
  <si>
    <t>Microsoft Chicago</t>
  </si>
  <si>
    <t>Sales Point</t>
  </si>
  <si>
    <t>Microsoft San Antonio Data Center</t>
  </si>
  <si>
    <t>Microsoft Miami</t>
  </si>
  <si>
    <t>Microsoft UK Headquarters</t>
  </si>
  <si>
    <t>Microsoft Ireland</t>
  </si>
  <si>
    <t>Microsoft France</t>
  </si>
  <si>
    <t>Microsoft Germany</t>
  </si>
  <si>
    <t>Microsoft Netherlands</t>
  </si>
  <si>
    <t>Microsoft Switzerland</t>
  </si>
  <si>
    <t>Microsoft Sweden</t>
  </si>
  <si>
    <t>Microsoft Dublin Data Center</t>
  </si>
  <si>
    <t>Microsoft Amsterdam Data Center</t>
  </si>
  <si>
    <t>Microsoft Spain</t>
  </si>
  <si>
    <t>Microsoft 中国 - 北京</t>
  </si>
  <si>
    <t>Microsoft 中国 - 上海</t>
  </si>
  <si>
    <t>Microsoft 中国 - 深圳</t>
  </si>
  <si>
    <t>Microsoft 日本 - 東京</t>
  </si>
  <si>
    <t>Microsoft 日本 - 大阪</t>
  </si>
  <si>
    <t>Microsoft Singapore</t>
  </si>
  <si>
    <t>Microsoft Singapore Data Center</t>
  </si>
  <si>
    <t>Microsoft India - Bangalore</t>
  </si>
  <si>
    <t>Microsoft India - Hyderabad</t>
  </si>
  <si>
    <t>Microsoft India - Noida</t>
  </si>
  <si>
    <t>Microsoft Australia - Sydney</t>
  </si>
  <si>
    <t>Microsoft South Korea - 서울</t>
  </si>
  <si>
    <t>South Korea</t>
  </si>
  <si>
    <t>Microsoft Taiwan - 台北</t>
  </si>
  <si>
    <t>Microsoft Hong Kong - 香港</t>
  </si>
  <si>
    <t>Microsoft Malaysia - Kuala Lumpur</t>
  </si>
  <si>
    <t>Microsoft Philippines - Manila</t>
  </si>
  <si>
    <t>Microsoft Thailand - กรุงเทพมหานคร</t>
  </si>
  <si>
    <t>Thailand</t>
  </si>
  <si>
    <t>Microsoft Indonesia - Jakarta</t>
  </si>
  <si>
    <t>Indonesia</t>
  </si>
  <si>
    <t>Microsoft Vietnam - Hồ Chí Minh</t>
  </si>
  <si>
    <t>Vietnam</t>
  </si>
  <si>
    <t>Microsoft UAE - Dubai</t>
  </si>
  <si>
    <t>United Arab Emirates</t>
  </si>
  <si>
    <t>Microsoft South Africa - Johannesburg</t>
  </si>
  <si>
    <t>South Africa</t>
  </si>
  <si>
    <t>Microsoft Israel - Tel Aviv</t>
  </si>
  <si>
    <t>Israel</t>
  </si>
  <si>
    <t>Microsoft Egypt - القاهرة</t>
  </si>
  <si>
    <t>Egypt</t>
  </si>
  <si>
    <t>Microsoft Qatar Data Center</t>
  </si>
  <si>
    <t>Qatar</t>
  </si>
  <si>
    <t>Microsoft Brazil - São Paulo</t>
  </si>
  <si>
    <t>Brazil</t>
  </si>
  <si>
    <t>Microsoft Argentina - Buenos Aires</t>
  </si>
  <si>
    <t>Argentina</t>
  </si>
  <si>
    <t>Microsoft Colombia - Bogotá</t>
  </si>
  <si>
    <t>Colombia</t>
  </si>
  <si>
    <t>Microsoft Chile - Santiago</t>
  </si>
  <si>
    <t>Chile</t>
  </si>
  <si>
    <t>Microsoft Mexico - Ciudad de México</t>
  </si>
  <si>
    <t>Microsoft Iowa Data Center</t>
  </si>
  <si>
    <t>Microsoft Virginia Data Center</t>
  </si>
  <si>
    <t>Microsoft Wyoming Data Center</t>
  </si>
  <si>
    <t>Microsoft Arizona Data Center</t>
  </si>
  <si>
    <t>Microsoft Amsterdam 2 Data Center</t>
  </si>
  <si>
    <t>Microsoft Finland Data Center</t>
  </si>
  <si>
    <t>Finland</t>
  </si>
  <si>
    <t>Microsoft Norway Data Center</t>
  </si>
  <si>
    <t>Norway</t>
  </si>
  <si>
    <t>Microsoft South Africa Data Center</t>
  </si>
  <si>
    <t>Microsoft Australia Data Center</t>
  </si>
  <si>
    <t>Microsoft New Zealand - Auckland</t>
  </si>
  <si>
    <t>Microsoft 中国 - 广州</t>
  </si>
  <si>
    <t>Microsoft 中国 - 成都</t>
  </si>
  <si>
    <t>Microsoft 中国 - 杭州</t>
  </si>
  <si>
    <t>Microsoft 日本 - 名古屋</t>
  </si>
  <si>
    <t>Microsoft 日本 - 福岡</t>
  </si>
  <si>
    <t>US-RMD-001</t>
  </si>
  <si>
    <t>1 Microsoft Way, Redmond, WA</t>
  </si>
  <si>
    <t>US-MTV-002</t>
  </si>
  <si>
    <t>1065 La Avenida, Mountain View, CA</t>
  </si>
  <si>
    <t>US-NYC-003</t>
  </si>
  <si>
    <t>11 Times Square, New York, NY</t>
  </si>
  <si>
    <t>US-CAM-004</t>
  </si>
  <si>
    <t>1 Memorial Drive, Cambridge, MA</t>
  </si>
  <si>
    <t>CA-VAN-005</t>
  </si>
  <si>
    <t>725 Granville St, Vancouver, BC</t>
  </si>
  <si>
    <t>CA-TOR-006</t>
  </si>
  <si>
    <t>81 Bay Street, Toronto, ON</t>
  </si>
  <si>
    <t>US-ATL-DC1</t>
  </si>
  <si>
    <t>6789 Peachtree Rd, Atlanta, GA</t>
  </si>
  <si>
    <t>US-CHI-007</t>
  </si>
  <si>
    <t>200 E Randolph St, Chicago, IL</t>
  </si>
  <si>
    <t>US-SAT-DC2</t>
  </si>
  <si>
    <t>10000 Interstate 10 W, San Antonio, TX</t>
  </si>
  <si>
    <t>US-MIA-008</t>
  </si>
  <si>
    <t>1001 Brickell Bay Dr, Miami, FL</t>
  </si>
  <si>
    <t>GB-LON-009</t>
  </si>
  <si>
    <t>2 Kingdom Street, London</t>
  </si>
  <si>
    <t>IE-DUB-010</t>
  </si>
  <si>
    <t>One Microsoft Place, Dublin</t>
  </si>
  <si>
    <t>FR-PAR-011</t>
  </si>
  <si>
    <t>39 Quai du Président Roosevelt, Paris</t>
  </si>
  <si>
    <t>DE-MUN-012</t>
  </si>
  <si>
    <t>Konrad-Zuse-Straße 1, Munich</t>
  </si>
  <si>
    <t>NL-AMS-013</t>
  </si>
  <si>
    <t>Evert van de Beekstraat 354, Amsterdam</t>
  </si>
  <si>
    <t>CH-ZUR-014</t>
  </si>
  <si>
    <t>Richtistrasse 3, Zurich</t>
  </si>
  <si>
    <t>SE-STO-015</t>
  </si>
  <si>
    <t>Kungsbron 2, Stockholm</t>
  </si>
  <si>
    <t>IE-DUB-DC3</t>
  </si>
  <si>
    <t>Parkwest Business Park, Dublin</t>
  </si>
  <si>
    <t>NL-AMS-DC4</t>
  </si>
  <si>
    <t>Science Park 140, Amsterdam</t>
  </si>
  <si>
    <t>ES-MAD-016</t>
  </si>
  <si>
    <t>Calle de Josefa Valcárcel 42, Madrid</t>
  </si>
  <si>
    <t>CN-BEJ-017</t>
  </si>
  <si>
    <t>丹棱街5号, 北京</t>
  </si>
  <si>
    <t>CN-SHA-018</t>
  </si>
  <si>
    <t>紫竹科学园区, 上海</t>
  </si>
  <si>
    <t>CN-SZX-019</t>
  </si>
  <si>
    <t>科技南路16号, 深圳</t>
  </si>
  <si>
    <t>JP-TYO-020</t>
  </si>
  <si>
    <t>港区港南 2-16-3, 東京</t>
  </si>
  <si>
    <t>JP-OSA-021</t>
  </si>
  <si>
    <t>大阪市北区梅田3-3-10, 大阪</t>
  </si>
  <si>
    <t>SG-SIN-022</t>
  </si>
  <si>
    <t>1 Marina Boulevard, Singapore</t>
  </si>
  <si>
    <t>SG-SIN-DC5</t>
  </si>
  <si>
    <t>25 Tai Seng Street, Singapore</t>
  </si>
  <si>
    <t>IN-BLR-023</t>
  </si>
  <si>
    <t>RMZ Infinity Tower E, Bangalore</t>
  </si>
  <si>
    <t>IN-HYD-024</t>
  </si>
  <si>
    <t>iLabs Centre, Hyderabad</t>
  </si>
  <si>
    <t>IN-NOI-025</t>
  </si>
  <si>
    <t>Express Trade Towers, Noida</t>
  </si>
  <si>
    <t>AU-SYD-026</t>
  </si>
  <si>
    <t>1 Epping Road, Sydney</t>
  </si>
  <si>
    <t>KR-SEL-027</t>
  </si>
  <si>
    <t>강남구 테헤란로 152, 서울</t>
  </si>
  <si>
    <t>TW-TPE-028</t>
  </si>
  <si>
    <t>信義路五段7號, 台北</t>
  </si>
  <si>
    <t>HK-HKG-029</t>
  </si>
  <si>
    <t>太古坊德宏大廈, 香港</t>
  </si>
  <si>
    <t>MY-KUL-030</t>
  </si>
  <si>
    <t>Level 26, Menara 3 Petronas, Kuala Lumpur</t>
  </si>
  <si>
    <t>PH-MNL-031</t>
  </si>
  <si>
    <t>8th Floor, 6750 Ayala Avenue, Manila</t>
  </si>
  <si>
    <t>TH-BKK-032</t>
  </si>
  <si>
    <t>589 Sukhumvit Road, กรุงเทพมหานคร</t>
  </si>
  <si>
    <t>ID-JKT-033</t>
  </si>
  <si>
    <t>Wisma Mulia, Sudirman, Jakarta</t>
  </si>
  <si>
    <t>VN-SGN-034</t>
  </si>
  <si>
    <t>Bitexco Financial Tower, Hồ Chí Minh</t>
  </si>
  <si>
    <t>AE-DXB-035</t>
  </si>
  <si>
    <t>Dubai Internet City, Dubai</t>
  </si>
  <si>
    <t>ZA-JNB-036</t>
  </si>
  <si>
    <t>3012 William Nicol Drive, Johannesburg</t>
  </si>
  <si>
    <t>IL-TLV-037</t>
  </si>
  <si>
    <t>94 Em HaMoshavot Road, Tel Aviv</t>
  </si>
  <si>
    <t>EG-CAI-038</t>
  </si>
  <si>
    <t>Smart Village, Building B141, القاهرة</t>
  </si>
  <si>
    <t>QA-DOH-DC6</t>
  </si>
  <si>
    <t>Doha Technology Park, Doha</t>
  </si>
  <si>
    <t>BR-SAO-039</t>
  </si>
  <si>
    <t>Avenida Presidente Juscelino Kubitschek 1830, São Paulo</t>
  </si>
  <si>
    <t>AR-BUE-040</t>
  </si>
  <si>
    <t>Ing. Enrique Butty 240, Buenos Aires</t>
  </si>
  <si>
    <t>CO-BOG-041</t>
  </si>
  <si>
    <t>Carrera 7 No. 71-21, Bogotá</t>
  </si>
  <si>
    <t>CL-SCL-042</t>
  </si>
  <si>
    <t>Av. Andrés Bello 2711, Santiago</t>
  </si>
  <si>
    <t>MX-MEX-043</t>
  </si>
  <si>
    <t>Paseo de la Reforma 505, Ciudad de México</t>
  </si>
  <si>
    <t>US-IAW-DC7</t>
  </si>
  <si>
    <t>3131 114th Street, West Des Moines, IA</t>
  </si>
  <si>
    <t>US-VAD-DC8</t>
  </si>
  <si>
    <t>44801 Gloucester Parkway, Ashburn, VA</t>
  </si>
  <si>
    <t>US-WYO-DC9</t>
  </si>
  <si>
    <t>3401 E Lincolnway, Cheyenne, WY</t>
  </si>
  <si>
    <t>US-AZP-DC10</t>
  </si>
  <si>
    <t>1950 N Alma School Road, Chandler, AZ</t>
  </si>
  <si>
    <t>NL-AMS-DC11</t>
  </si>
  <si>
    <t>Kabelweg 37, Amsterdam</t>
  </si>
  <si>
    <t>FI-HEL-DC12</t>
  </si>
  <si>
    <t>Metsäläntie 7, Helsinki</t>
  </si>
  <si>
    <t>NO-OSL-DC13</t>
  </si>
  <si>
    <t>Drammensvegen 264, Oslo</t>
  </si>
  <si>
    <t>ZA-CPT-DC14</t>
  </si>
  <si>
    <t>Longkloof Studios, Cape Town</t>
  </si>
  <si>
    <t>AU-MEL-DC15</t>
  </si>
  <si>
    <t>51 Bourke Road, Melbourne</t>
  </si>
  <si>
    <t>NZ-AKL-044</t>
  </si>
  <si>
    <t>157 Lambton Quay, Auckland</t>
  </si>
  <si>
    <t>CN-CAN-045</t>
  </si>
  <si>
    <t>天河区珠江新城, 广州</t>
  </si>
  <si>
    <t>CN-CTU-046</t>
  </si>
  <si>
    <t>高新区天府大道, 成都</t>
  </si>
  <si>
    <t>CN-HGH-047</t>
  </si>
  <si>
    <t>西湖区文三路, 杭州</t>
  </si>
  <si>
    <t>JP-NGO-048</t>
  </si>
  <si>
    <t>中村区名駅4-7-1, 名古屋</t>
  </si>
  <si>
    <t>JP-FUK-049</t>
  </si>
  <si>
    <t>博多区博多駅前2-1-1, 福岡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</si>
</sst>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-809]#,##0.00;\-#,##0.00;\-"/>
    <numFmt numFmtId="165" formatCode="&quot;£&quot;#,##0.00"/>
    <numFmt numFmtId="166" formatCode="&quot;£&quot;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Dyson Futura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" xfId="2" applyFont="1" applyFill="1" applyBorder="1" applyAlignment="1">
      <alignment horizontal="left" vertical="center" wrapText="1"/>
    </xf>
    <xf numFmtId="166" fontId="4" fillId="3" borderId="1" xfId="2" applyNumberFormat="1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left" vertical="center" wrapText="1"/>
    </xf>
    <xf numFmtId="166" fontId="4" fillId="0" borderId="0" xfId="2" applyNumberFormat="1" applyFont="1" applyAlignment="1">
      <alignment horizontal="center" vertical="center"/>
    </xf>
    <xf numFmtId="0" fontId="2" fillId="4" borderId="2" xfId="2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165" fontId="7" fillId="0" borderId="0" xfId="2" applyNumberFormat="1" applyFon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right" vertical="center" wrapText="1"/>
    </xf>
  </cellXfs>
  <cellStyles count="3">
    <cellStyle name="Normal" xfId="0" builtinId="0"/>
    <cellStyle name="Normal 2" xfId="1" xr:uid="{AA64FE36-CE35-4AE0-B15D-8DCA3D9DA79A}"/>
    <cellStyle name="Normal 2 2" xfId="2" xr:uid="{0E37C418-6CA4-4743-A22F-1C1520BA5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B9BC-736E-4E6E-B647-FFC95DE6B6EC}">
  <sheetPr>
    <tabColor theme="7" tint="0.79998168889431442"/>
  </sheetPr>
  <dimension ref="A1:AU80"/>
  <sheetViews>
    <sheetView tabSelected="1" zoomScaleNormal="100" workbookViewId="0">
      <pane ySplit="6" topLeftCell="A7" activePane="bottomLeft" state="frozen"/>
      <selection pane="bottomLeft" activeCell="B7" sqref="B7"/>
    </sheetView>
  </sheetViews>
  <sheetFormatPr defaultColWidth="8.7265625" defaultRowHeight="14.5" outlineLevelRow="1"/>
  <cols>
    <col min="1" max="1" width="2.81640625" style="4" customWidth="1"/>
    <col min="2" max="2" width="29.7265625" style="1" customWidth="1"/>
    <col min="3" max="3" width="18.54296875" style="5" bestFit="1" customWidth="1"/>
    <col min="4" max="4" width="44.1796875" style="1" customWidth="1"/>
    <col min="5" max="5" width="22.54296875" style="1" customWidth="1"/>
    <col min="6" max="6" width="36.81640625" style="2" customWidth="1"/>
    <col min="7" max="7" width="35" style="3" customWidth="1"/>
    <col min="8" max="8" width="21.81640625" style="3" customWidth="1"/>
    <col min="9" max="9" width="26.7265625" style="3" customWidth="1"/>
    <col min="10" max="10" width="25.54296875" style="3" customWidth="1"/>
    <col min="11" max="11" width="19.1796875" style="3" customWidth="1"/>
    <col min="12" max="16" width="31.54296875" style="3" customWidth="1"/>
    <col min="17" max="17" width="22.1796875" style="3" bestFit="1" customWidth="1"/>
    <col min="18" max="18" width="14.81640625" customWidth="1"/>
    <col min="19" max="16384" width="8.7265625" style="4"/>
  </cols>
  <sheetData>
    <row r="1" spans="1:18" ht="18.5">
      <c r="B1" s="9" t="s">
        <v>0</v>
      </c>
      <c r="C1" s="10"/>
      <c r="Q1" s="4"/>
    </row>
    <row r="2" spans="1:18" ht="18.5">
      <c r="B2" s="7" t="s">
        <v>1</v>
      </c>
      <c r="C2" s="8">
        <f>Q72</f>
        <v>802580000</v>
      </c>
      <c r="Q2" s="4"/>
    </row>
    <row r="3" spans="1:18" ht="18.5">
      <c r="B3" s="7" t="s">
        <v>2</v>
      </c>
      <c r="C3" s="8">
        <v>5237100057</v>
      </c>
      <c r="Q3" s="4"/>
    </row>
    <row r="4" spans="1:18" ht="18.5">
      <c r="B4" s="7" t="s">
        <v>3</v>
      </c>
      <c r="C4" s="16">
        <f>SUM(C2:C3)</f>
        <v>6039680057</v>
      </c>
      <c r="Q4" s="4"/>
    </row>
    <row r="5" spans="1:18" customFormat="1"/>
    <row r="6" spans="1:18" s="6" customFormat="1" ht="18.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/>
    </row>
    <row r="7" spans="1:18" customFormat="1">
      <c r="A7" s="4"/>
      <c r="B7" t="s">
        <v>44</v>
      </c>
      <c r="C7" t="s">
        <v>126</v>
      </c>
      <c r="D7" t="s">
        <v>42</v>
      </c>
      <c r="E7" t="s">
        <v>43</v>
      </c>
      <c r="F7" t="s">
        <v>127</v>
      </c>
      <c r="G7">
        <v>125000000</v>
      </c>
      <c r="H7">
        <v>45000000</v>
      </c>
      <c r="I7">
        <v>12000000</v>
      </c>
      <c r="J7">
        <v>8500000</v>
      </c>
      <c r="K7">
        <v>15000000</v>
      </c>
      <c r="L7">
        <v>18000000</v>
      </c>
      <c r="M7">
        <v>22000000</v>
      </c>
      <c r="N7">
        <v>3500000</v>
      </c>
      <c r="O7">
        <v>1000000</v>
      </c>
      <c r="P7">
        <v>0</v>
      </c>
      <c r="Q7">
        <f>SUM(G7:P7)</f>
        <v>250000000</v>
      </c>
    </row>
    <row r="8" spans="1:18" customFormat="1">
      <c r="A8" s="4"/>
      <c r="B8" t="s">
        <v>44</v>
      </c>
      <c r="C8" t="s">
        <v>128</v>
      </c>
      <c r="D8" t="s">
        <v>45</v>
      </c>
      <c r="E8" t="s">
        <v>21</v>
      </c>
      <c r="F8" t="s">
        <v>129</v>
      </c>
      <c r="G8">
        <v>8500000</v>
      </c>
      <c r="H8">
        <v>3200000</v>
      </c>
      <c r="I8">
        <v>850000</v>
      </c>
      <c r="J8">
        <v>650000</v>
      </c>
      <c r="K8">
        <v>2500000</v>
      </c>
      <c r="L8">
        <v>1200000</v>
      </c>
      <c r="M8">
        <v>1800000</v>
      </c>
      <c r="N8">
        <v>0</v>
      </c>
      <c r="O8">
        <v>300000</v>
      </c>
      <c r="P8">
        <v>2400000</v>
      </c>
      <c r="Q8">
        <f t="shared" ref="Q8:Q70" si="0">SUM(G8:P8)</f>
        <v>21400000</v>
      </c>
    </row>
    <row r="9" spans="1:18" customFormat="1">
      <c r="A9" s="4"/>
      <c r="B9" t="s">
        <v>44</v>
      </c>
      <c r="C9" t="s">
        <v>130</v>
      </c>
      <c r="D9" t="s">
        <v>46</v>
      </c>
      <c r="E9" t="s">
        <v>21</v>
      </c>
      <c r="F9" t="s">
        <v>131</v>
      </c>
      <c r="G9">
        <v>12000000</v>
      </c>
      <c r="H9">
        <v>4500000</v>
      </c>
      <c r="I9">
        <v>1100000</v>
      </c>
      <c r="J9">
        <v>950000</v>
      </c>
      <c r="K9">
        <v>0</v>
      </c>
      <c r="L9">
        <v>2200000</v>
      </c>
      <c r="M9">
        <v>2500000</v>
      </c>
      <c r="N9">
        <v>0</v>
      </c>
      <c r="O9">
        <v>750000</v>
      </c>
      <c r="P9">
        <v>4800000</v>
      </c>
      <c r="Q9">
        <f t="shared" si="0"/>
        <v>28800000</v>
      </c>
    </row>
    <row r="10" spans="1:18" customFormat="1">
      <c r="A10" s="4"/>
      <c r="B10" t="s">
        <v>44</v>
      </c>
      <c r="C10" t="s">
        <v>132</v>
      </c>
      <c r="D10" t="s">
        <v>47</v>
      </c>
      <c r="E10" t="s">
        <v>48</v>
      </c>
      <c r="F10" t="s">
        <v>133</v>
      </c>
      <c r="G10">
        <v>2100000</v>
      </c>
      <c r="H10">
        <v>800000</v>
      </c>
      <c r="I10">
        <v>220000</v>
      </c>
      <c r="J10">
        <v>450000</v>
      </c>
      <c r="K10">
        <v>1200000</v>
      </c>
      <c r="L10">
        <v>430000</v>
      </c>
      <c r="M10">
        <v>0</v>
      </c>
      <c r="N10">
        <v>0</v>
      </c>
      <c r="O10">
        <v>0</v>
      </c>
      <c r="P10">
        <v>1200000</v>
      </c>
      <c r="Q10">
        <f t="shared" si="0"/>
        <v>6400000</v>
      </c>
    </row>
    <row r="11" spans="1:18" customFormat="1">
      <c r="A11" s="4"/>
      <c r="B11" t="s">
        <v>23</v>
      </c>
      <c r="C11" t="s">
        <v>134</v>
      </c>
      <c r="D11" t="s">
        <v>49</v>
      </c>
      <c r="E11" t="s">
        <v>21</v>
      </c>
      <c r="F11" t="s">
        <v>135</v>
      </c>
      <c r="G11">
        <v>2800000</v>
      </c>
      <c r="H11">
        <v>1050000</v>
      </c>
      <c r="I11">
        <v>280000</v>
      </c>
      <c r="J11">
        <v>320000</v>
      </c>
      <c r="K11">
        <v>0</v>
      </c>
      <c r="L11">
        <v>650000</v>
      </c>
      <c r="M11">
        <v>500000</v>
      </c>
      <c r="N11">
        <v>0</v>
      </c>
      <c r="O11">
        <v>0</v>
      </c>
      <c r="P11">
        <v>1800000</v>
      </c>
      <c r="Q11">
        <f t="shared" si="0"/>
        <v>7400000</v>
      </c>
    </row>
    <row r="12" spans="1:18" customFormat="1">
      <c r="A12" s="4"/>
      <c r="B12" t="s">
        <v>23</v>
      </c>
      <c r="C12" t="s">
        <v>136</v>
      </c>
      <c r="D12" t="s">
        <v>50</v>
      </c>
      <c r="E12" t="s">
        <v>21</v>
      </c>
      <c r="F12" t="s">
        <v>137</v>
      </c>
      <c r="G12">
        <v>4200000</v>
      </c>
      <c r="H12">
        <v>1600000</v>
      </c>
      <c r="I12">
        <v>420000</v>
      </c>
      <c r="J12">
        <v>480000</v>
      </c>
      <c r="K12">
        <v>900000</v>
      </c>
      <c r="L12">
        <v>800000</v>
      </c>
      <c r="M12">
        <v>1000000</v>
      </c>
      <c r="N12">
        <v>0</v>
      </c>
      <c r="O12">
        <v>0</v>
      </c>
      <c r="P12">
        <v>2200000</v>
      </c>
      <c r="Q12">
        <f t="shared" si="0"/>
        <v>11600000</v>
      </c>
    </row>
    <row r="13" spans="1:18" customFormat="1">
      <c r="A13" s="4"/>
      <c r="B13" t="s">
        <v>44</v>
      </c>
      <c r="C13" t="s">
        <v>138</v>
      </c>
      <c r="D13" t="s">
        <v>51</v>
      </c>
      <c r="E13" t="s">
        <v>52</v>
      </c>
      <c r="F13" t="s">
        <v>139</v>
      </c>
      <c r="G13">
        <v>950000</v>
      </c>
      <c r="H13">
        <v>280000</v>
      </c>
      <c r="I13">
        <v>50000</v>
      </c>
      <c r="J13">
        <v>420000</v>
      </c>
      <c r="K13">
        <v>200000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0"/>
        <v>1900000</v>
      </c>
    </row>
    <row r="14" spans="1:18" customFormat="1">
      <c r="A14" s="4"/>
      <c r="B14" t="s">
        <v>44</v>
      </c>
      <c r="C14" t="s">
        <v>140</v>
      </c>
      <c r="D14" t="s">
        <v>53</v>
      </c>
      <c r="E14" t="s">
        <v>54</v>
      </c>
      <c r="F14" t="s">
        <v>141</v>
      </c>
      <c r="G14">
        <v>2400000</v>
      </c>
      <c r="H14">
        <v>0</v>
      </c>
      <c r="I14">
        <v>180000</v>
      </c>
      <c r="J14">
        <v>280000</v>
      </c>
      <c r="K14">
        <v>0</v>
      </c>
      <c r="L14">
        <v>220000</v>
      </c>
      <c r="M14">
        <v>0</v>
      </c>
      <c r="N14">
        <v>0</v>
      </c>
      <c r="O14">
        <v>0</v>
      </c>
      <c r="P14">
        <v>1500000</v>
      </c>
      <c r="Q14">
        <f t="shared" si="0"/>
        <v>4580000</v>
      </c>
    </row>
    <row r="15" spans="1:18" customFormat="1">
      <c r="A15" s="4"/>
      <c r="B15" t="s">
        <v>44</v>
      </c>
      <c r="C15" t="s">
        <v>142</v>
      </c>
      <c r="D15" t="s">
        <v>55</v>
      </c>
      <c r="E15" t="s">
        <v>52</v>
      </c>
      <c r="F15" t="s">
        <v>143</v>
      </c>
      <c r="G15">
        <v>1100000</v>
      </c>
      <c r="H15">
        <v>320000</v>
      </c>
      <c r="I15">
        <v>45000</v>
      </c>
      <c r="J15">
        <v>480000</v>
      </c>
      <c r="K15">
        <v>255000</v>
      </c>
      <c r="L15">
        <v>0</v>
      </c>
      <c r="M15">
        <v>0</v>
      </c>
      <c r="N15">
        <v>0</v>
      </c>
      <c r="O15">
        <v>0</v>
      </c>
      <c r="P15">
        <v>0</v>
      </c>
      <c r="Q15">
        <f t="shared" si="0"/>
        <v>2200000</v>
      </c>
    </row>
    <row r="16" spans="1:18" customFormat="1">
      <c r="A16" s="4"/>
      <c r="B16" t="s">
        <v>44</v>
      </c>
      <c r="C16" t="s">
        <v>144</v>
      </c>
      <c r="D16" t="s">
        <v>56</v>
      </c>
      <c r="E16" t="s">
        <v>54</v>
      </c>
      <c r="F16" t="s">
        <v>145</v>
      </c>
      <c r="G16">
        <v>1600000</v>
      </c>
      <c r="H16">
        <v>0</v>
      </c>
      <c r="I16">
        <v>150000</v>
      </c>
      <c r="J16">
        <v>220000</v>
      </c>
      <c r="K16">
        <v>0</v>
      </c>
      <c r="L16">
        <v>180000</v>
      </c>
      <c r="M16">
        <v>0</v>
      </c>
      <c r="N16">
        <v>0</v>
      </c>
      <c r="O16">
        <v>0</v>
      </c>
      <c r="P16">
        <v>950000</v>
      </c>
      <c r="Q16">
        <f t="shared" si="0"/>
        <v>3100000</v>
      </c>
    </row>
    <row r="17" spans="1:17" customFormat="1">
      <c r="A17" s="4"/>
      <c r="B17" t="s">
        <v>20</v>
      </c>
      <c r="C17" t="s">
        <v>146</v>
      </c>
      <c r="D17" t="s">
        <v>57</v>
      </c>
      <c r="E17" t="s">
        <v>21</v>
      </c>
      <c r="F17" t="s">
        <v>147</v>
      </c>
      <c r="G17">
        <v>15000000</v>
      </c>
      <c r="H17">
        <v>5500000</v>
      </c>
      <c r="I17">
        <v>1400000</v>
      </c>
      <c r="J17">
        <v>1200000</v>
      </c>
      <c r="K17">
        <v>0</v>
      </c>
      <c r="L17">
        <v>2800000</v>
      </c>
      <c r="M17">
        <v>3200000</v>
      </c>
      <c r="N17">
        <v>0</v>
      </c>
      <c r="O17">
        <v>900000</v>
      </c>
      <c r="P17">
        <v>6500000</v>
      </c>
      <c r="Q17">
        <f t="shared" si="0"/>
        <v>36500000</v>
      </c>
    </row>
    <row r="18" spans="1:17" customFormat="1">
      <c r="A18" s="4"/>
      <c r="B18" t="s">
        <v>24</v>
      </c>
      <c r="C18" t="s">
        <v>148</v>
      </c>
      <c r="D18" t="s">
        <v>58</v>
      </c>
      <c r="E18" t="s">
        <v>21</v>
      </c>
      <c r="F18" t="s">
        <v>149</v>
      </c>
      <c r="G18">
        <v>7800000</v>
      </c>
      <c r="H18">
        <v>2900000</v>
      </c>
      <c r="I18">
        <v>780000</v>
      </c>
      <c r="J18">
        <v>920000</v>
      </c>
      <c r="K18">
        <v>1800000</v>
      </c>
      <c r="L18">
        <v>1400000</v>
      </c>
      <c r="M18">
        <v>0</v>
      </c>
      <c r="N18">
        <v>0</v>
      </c>
      <c r="O18">
        <v>0</v>
      </c>
      <c r="P18">
        <v>2100000</v>
      </c>
      <c r="Q18">
        <f t="shared" si="0"/>
        <v>17700000</v>
      </c>
    </row>
    <row r="19" spans="1:17" customFormat="1">
      <c r="A19" s="4"/>
      <c r="B19" t="s">
        <v>26</v>
      </c>
      <c r="C19" t="s">
        <v>150</v>
      </c>
      <c r="D19" t="s">
        <v>59</v>
      </c>
      <c r="E19" t="s">
        <v>21</v>
      </c>
      <c r="F19" t="s">
        <v>151</v>
      </c>
      <c r="G19">
        <v>6500000</v>
      </c>
      <c r="H19">
        <v>2400000</v>
      </c>
      <c r="I19">
        <v>650000</v>
      </c>
      <c r="J19">
        <v>750000</v>
      </c>
      <c r="K19">
        <v>0</v>
      </c>
      <c r="L19">
        <v>1200000</v>
      </c>
      <c r="M19">
        <v>1500000</v>
      </c>
      <c r="N19">
        <v>0</v>
      </c>
      <c r="O19">
        <v>0</v>
      </c>
      <c r="P19">
        <v>3200000</v>
      </c>
      <c r="Q19">
        <f t="shared" si="0"/>
        <v>16200000</v>
      </c>
    </row>
    <row r="20" spans="1:17" customFormat="1">
      <c r="A20" s="4"/>
      <c r="B20" t="s">
        <v>25</v>
      </c>
      <c r="C20" t="s">
        <v>152</v>
      </c>
      <c r="D20" t="s">
        <v>60</v>
      </c>
      <c r="E20" t="s">
        <v>21</v>
      </c>
      <c r="F20" t="s">
        <v>153</v>
      </c>
      <c r="G20">
        <v>9200000</v>
      </c>
      <c r="H20">
        <v>3400000</v>
      </c>
      <c r="I20">
        <v>920000</v>
      </c>
      <c r="J20">
        <v>1050000</v>
      </c>
      <c r="K20">
        <v>2100000</v>
      </c>
      <c r="L20">
        <v>1730000</v>
      </c>
      <c r="M20">
        <v>0</v>
      </c>
      <c r="N20">
        <v>0</v>
      </c>
      <c r="O20">
        <v>0</v>
      </c>
      <c r="P20">
        <v>2800000</v>
      </c>
      <c r="Q20">
        <f t="shared" si="0"/>
        <v>21200000</v>
      </c>
    </row>
    <row r="21" spans="1:17" customFormat="1">
      <c r="A21" s="4"/>
      <c r="B21" t="s">
        <v>29</v>
      </c>
      <c r="C21" t="s">
        <v>154</v>
      </c>
      <c r="D21" t="s">
        <v>61</v>
      </c>
      <c r="E21" t="s">
        <v>21</v>
      </c>
      <c r="F21" t="s">
        <v>155</v>
      </c>
      <c r="G21">
        <v>3400000</v>
      </c>
      <c r="H21">
        <v>1250000</v>
      </c>
      <c r="I21">
        <v>340000</v>
      </c>
      <c r="J21">
        <v>420000</v>
      </c>
      <c r="K21">
        <v>0</v>
      </c>
      <c r="L21">
        <v>890000</v>
      </c>
      <c r="M21">
        <v>500000</v>
      </c>
      <c r="N21">
        <v>0</v>
      </c>
      <c r="O21">
        <v>0</v>
      </c>
      <c r="P21">
        <v>1900000</v>
      </c>
      <c r="Q21">
        <f t="shared" si="0"/>
        <v>8700000</v>
      </c>
    </row>
    <row r="22" spans="1:17" customFormat="1">
      <c r="A22" s="4"/>
      <c r="B22" t="s">
        <v>28</v>
      </c>
      <c r="C22" t="s">
        <v>156</v>
      </c>
      <c r="D22" t="s">
        <v>62</v>
      </c>
      <c r="E22" t="s">
        <v>21</v>
      </c>
      <c r="F22" t="s">
        <v>157</v>
      </c>
      <c r="G22">
        <v>2900000</v>
      </c>
      <c r="H22">
        <v>1100000</v>
      </c>
      <c r="I22">
        <v>290000</v>
      </c>
      <c r="J22">
        <v>350000</v>
      </c>
      <c r="K22">
        <v>680000</v>
      </c>
      <c r="L22">
        <v>480000</v>
      </c>
      <c r="M22">
        <v>0</v>
      </c>
      <c r="N22">
        <v>0</v>
      </c>
      <c r="O22">
        <v>0</v>
      </c>
      <c r="P22">
        <v>1600000</v>
      </c>
      <c r="Q22">
        <f t="shared" si="0"/>
        <v>7400000</v>
      </c>
    </row>
    <row r="23" spans="1:17" customFormat="1">
      <c r="A23" s="4"/>
      <c r="B23" t="s">
        <v>30</v>
      </c>
      <c r="C23" t="s">
        <v>158</v>
      </c>
      <c r="D23" t="s">
        <v>63</v>
      </c>
      <c r="E23" t="s">
        <v>21</v>
      </c>
      <c r="F23" t="s">
        <v>159</v>
      </c>
      <c r="G23">
        <v>2200000</v>
      </c>
      <c r="H23">
        <v>820000</v>
      </c>
      <c r="I23">
        <v>220000</v>
      </c>
      <c r="J23">
        <v>280000</v>
      </c>
      <c r="K23">
        <v>0</v>
      </c>
      <c r="L23">
        <v>580000</v>
      </c>
      <c r="M23">
        <v>300000</v>
      </c>
      <c r="N23">
        <v>0</v>
      </c>
      <c r="O23">
        <v>0</v>
      </c>
      <c r="P23">
        <v>1400000</v>
      </c>
      <c r="Q23">
        <f t="shared" si="0"/>
        <v>5800000</v>
      </c>
    </row>
    <row r="24" spans="1:17" customFormat="1">
      <c r="A24" s="4"/>
      <c r="B24" t="s">
        <v>24</v>
      </c>
      <c r="C24" t="s">
        <v>160</v>
      </c>
      <c r="D24" t="s">
        <v>64</v>
      </c>
      <c r="E24" t="s">
        <v>52</v>
      </c>
      <c r="F24" t="s">
        <v>161</v>
      </c>
      <c r="G24">
        <v>680000</v>
      </c>
      <c r="H24">
        <v>200000</v>
      </c>
      <c r="I24">
        <v>35000</v>
      </c>
      <c r="J24">
        <v>310000</v>
      </c>
      <c r="K24">
        <v>135000</v>
      </c>
      <c r="L24">
        <v>0</v>
      </c>
      <c r="M24">
        <v>0</v>
      </c>
      <c r="N24">
        <v>0</v>
      </c>
      <c r="O24">
        <v>0</v>
      </c>
      <c r="P24">
        <v>0</v>
      </c>
      <c r="Q24">
        <f t="shared" si="0"/>
        <v>1360000</v>
      </c>
    </row>
    <row r="25" spans="1:17" customFormat="1">
      <c r="A25" s="4"/>
      <c r="B25" t="s">
        <v>29</v>
      </c>
      <c r="C25" t="s">
        <v>162</v>
      </c>
      <c r="D25" t="s">
        <v>65</v>
      </c>
      <c r="E25" t="s">
        <v>52</v>
      </c>
      <c r="F25" t="s">
        <v>163</v>
      </c>
      <c r="G25">
        <v>820000</v>
      </c>
      <c r="H25">
        <v>240000</v>
      </c>
      <c r="I25">
        <v>40000</v>
      </c>
      <c r="J25">
        <v>370000</v>
      </c>
      <c r="K25">
        <v>170000</v>
      </c>
      <c r="L25">
        <v>0</v>
      </c>
      <c r="M25">
        <v>0</v>
      </c>
      <c r="N25">
        <v>0</v>
      </c>
      <c r="O25">
        <v>0</v>
      </c>
      <c r="P25">
        <v>0</v>
      </c>
      <c r="Q25">
        <f t="shared" si="0"/>
        <v>1640000</v>
      </c>
    </row>
    <row r="26" spans="1:17" customFormat="1">
      <c r="A26" s="4"/>
      <c r="B26" t="s">
        <v>27</v>
      </c>
      <c r="C26" t="s">
        <v>164</v>
      </c>
      <c r="D26" t="s">
        <v>66</v>
      </c>
      <c r="E26" t="s">
        <v>21</v>
      </c>
      <c r="F26" t="s">
        <v>165</v>
      </c>
      <c r="G26">
        <v>3100000</v>
      </c>
      <c r="H26">
        <v>1150000</v>
      </c>
      <c r="I26">
        <v>310000</v>
      </c>
      <c r="J26">
        <v>380000</v>
      </c>
      <c r="K26">
        <v>0</v>
      </c>
      <c r="L26">
        <v>760000</v>
      </c>
      <c r="M26">
        <v>500000</v>
      </c>
      <c r="N26">
        <v>0</v>
      </c>
      <c r="O26">
        <v>0</v>
      </c>
      <c r="P26">
        <v>1800000</v>
      </c>
      <c r="Q26">
        <f t="shared" si="0"/>
        <v>8000000</v>
      </c>
    </row>
    <row r="27" spans="1:17" customFormat="1">
      <c r="A27" s="4"/>
      <c r="B27" t="s">
        <v>34</v>
      </c>
      <c r="C27" t="s">
        <v>166</v>
      </c>
      <c r="D27" t="s">
        <v>67</v>
      </c>
      <c r="E27" t="s">
        <v>21</v>
      </c>
      <c r="F27" t="s">
        <v>167</v>
      </c>
      <c r="G27">
        <v>18000000</v>
      </c>
      <c r="H27">
        <v>6500000</v>
      </c>
      <c r="I27">
        <v>1800000</v>
      </c>
      <c r="J27">
        <v>2100000</v>
      </c>
      <c r="K27">
        <v>4200000</v>
      </c>
      <c r="L27">
        <v>3400000</v>
      </c>
      <c r="M27">
        <v>0</v>
      </c>
      <c r="N27">
        <v>0</v>
      </c>
      <c r="O27">
        <v>0</v>
      </c>
      <c r="P27">
        <v>4500000</v>
      </c>
      <c r="Q27">
        <f t="shared" si="0"/>
        <v>40500000</v>
      </c>
    </row>
    <row r="28" spans="1:17" customFormat="1">
      <c r="A28" s="4"/>
      <c r="B28" t="s">
        <v>34</v>
      </c>
      <c r="C28" t="s">
        <v>168</v>
      </c>
      <c r="D28" t="s">
        <v>68</v>
      </c>
      <c r="E28" t="s">
        <v>21</v>
      </c>
      <c r="F28" t="s">
        <v>169</v>
      </c>
      <c r="G28">
        <v>12500000</v>
      </c>
      <c r="H28">
        <v>4600000</v>
      </c>
      <c r="I28">
        <v>1250000</v>
      </c>
      <c r="J28">
        <v>1480000</v>
      </c>
      <c r="K28">
        <v>2800000</v>
      </c>
      <c r="L28">
        <v>2370000</v>
      </c>
      <c r="M28">
        <v>0</v>
      </c>
      <c r="N28">
        <v>0</v>
      </c>
      <c r="O28">
        <v>0</v>
      </c>
      <c r="P28">
        <v>3200000</v>
      </c>
      <c r="Q28">
        <f t="shared" si="0"/>
        <v>28200000</v>
      </c>
    </row>
    <row r="29" spans="1:17" customFormat="1">
      <c r="A29" s="4"/>
      <c r="B29" t="s">
        <v>34</v>
      </c>
      <c r="C29" t="s">
        <v>170</v>
      </c>
      <c r="D29" t="s">
        <v>69</v>
      </c>
      <c r="E29" t="s">
        <v>21</v>
      </c>
      <c r="F29" t="s">
        <v>171</v>
      </c>
      <c r="G29">
        <v>7200000</v>
      </c>
      <c r="H29">
        <v>2650000</v>
      </c>
      <c r="I29">
        <v>720000</v>
      </c>
      <c r="J29">
        <v>850000</v>
      </c>
      <c r="K29">
        <v>1800000</v>
      </c>
      <c r="L29">
        <v>1180000</v>
      </c>
      <c r="M29">
        <v>0</v>
      </c>
      <c r="N29">
        <v>0</v>
      </c>
      <c r="O29">
        <v>0</v>
      </c>
      <c r="P29">
        <v>2100000</v>
      </c>
      <c r="Q29">
        <f t="shared" si="0"/>
        <v>16500000</v>
      </c>
    </row>
    <row r="30" spans="1:17" customFormat="1">
      <c r="A30" s="4"/>
      <c r="B30" t="s">
        <v>35</v>
      </c>
      <c r="C30" t="s">
        <v>172</v>
      </c>
      <c r="D30" t="s">
        <v>70</v>
      </c>
      <c r="E30" t="s">
        <v>21</v>
      </c>
      <c r="F30" t="s">
        <v>173</v>
      </c>
      <c r="G30">
        <v>9800000</v>
      </c>
      <c r="H30">
        <v>3600000</v>
      </c>
      <c r="I30">
        <v>980000</v>
      </c>
      <c r="J30">
        <v>1150000</v>
      </c>
      <c r="K30">
        <v>0</v>
      </c>
      <c r="L30">
        <v>2270000</v>
      </c>
      <c r="M30">
        <v>1800000</v>
      </c>
      <c r="N30">
        <v>0</v>
      </c>
      <c r="O30">
        <v>0</v>
      </c>
      <c r="P30">
        <v>5200000</v>
      </c>
      <c r="Q30">
        <f t="shared" si="0"/>
        <v>24800000</v>
      </c>
    </row>
    <row r="31" spans="1:17" customFormat="1">
      <c r="A31" s="4"/>
      <c r="B31" t="s">
        <v>35</v>
      </c>
      <c r="C31" t="s">
        <v>174</v>
      </c>
      <c r="D31" t="s">
        <v>71</v>
      </c>
      <c r="E31" t="s">
        <v>54</v>
      </c>
      <c r="F31" t="s">
        <v>175</v>
      </c>
      <c r="G31">
        <v>2600000</v>
      </c>
      <c r="H31">
        <v>0</v>
      </c>
      <c r="I31">
        <v>280000</v>
      </c>
      <c r="J31">
        <v>380000</v>
      </c>
      <c r="K31">
        <v>0</v>
      </c>
      <c r="L31">
        <v>440000</v>
      </c>
      <c r="M31">
        <v>0</v>
      </c>
      <c r="N31">
        <v>0</v>
      </c>
      <c r="O31">
        <v>0</v>
      </c>
      <c r="P31">
        <v>1800000</v>
      </c>
      <c r="Q31">
        <f t="shared" si="0"/>
        <v>5500000</v>
      </c>
    </row>
    <row r="32" spans="1:17" customFormat="1">
      <c r="A32" s="4"/>
      <c r="B32" t="s">
        <v>36</v>
      </c>
      <c r="C32" t="s">
        <v>176</v>
      </c>
      <c r="D32" t="s">
        <v>72</v>
      </c>
      <c r="E32" t="s">
        <v>21</v>
      </c>
      <c r="F32" t="s">
        <v>177</v>
      </c>
      <c r="G32">
        <v>5400000</v>
      </c>
      <c r="H32">
        <v>2000000</v>
      </c>
      <c r="I32">
        <v>540000</v>
      </c>
      <c r="J32">
        <v>650000</v>
      </c>
      <c r="K32">
        <v>0</v>
      </c>
      <c r="L32">
        <v>1210000</v>
      </c>
      <c r="M32">
        <v>1000000</v>
      </c>
      <c r="N32">
        <v>0</v>
      </c>
      <c r="O32">
        <v>0</v>
      </c>
      <c r="P32">
        <v>2900000</v>
      </c>
      <c r="Q32">
        <f t="shared" si="0"/>
        <v>13700000</v>
      </c>
    </row>
    <row r="33" spans="1:17" customFormat="1">
      <c r="A33" s="4"/>
      <c r="B33" t="s">
        <v>36</v>
      </c>
      <c r="C33" t="s">
        <v>178</v>
      </c>
      <c r="D33" t="s">
        <v>73</v>
      </c>
      <c r="E33" t="s">
        <v>52</v>
      </c>
      <c r="F33" t="s">
        <v>179</v>
      </c>
      <c r="G33">
        <v>720000</v>
      </c>
      <c r="H33">
        <v>210000</v>
      </c>
      <c r="I33">
        <v>38000</v>
      </c>
      <c r="J33">
        <v>330000</v>
      </c>
      <c r="K33">
        <v>142000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0"/>
        <v>1440000</v>
      </c>
    </row>
    <row r="34" spans="1:17" customFormat="1">
      <c r="A34" s="4"/>
      <c r="B34" t="s">
        <v>33</v>
      </c>
      <c r="C34" t="s">
        <v>180</v>
      </c>
      <c r="D34" t="s">
        <v>74</v>
      </c>
      <c r="E34" t="s">
        <v>21</v>
      </c>
      <c r="F34" t="s">
        <v>181</v>
      </c>
      <c r="G34">
        <v>16000000</v>
      </c>
      <c r="H34">
        <v>5800000</v>
      </c>
      <c r="I34">
        <v>1600000</v>
      </c>
      <c r="J34">
        <v>1900000</v>
      </c>
      <c r="K34">
        <v>3500000</v>
      </c>
      <c r="L34">
        <v>3200000</v>
      </c>
      <c r="M34">
        <v>0</v>
      </c>
      <c r="N34">
        <v>0</v>
      </c>
      <c r="O34">
        <v>0</v>
      </c>
      <c r="P34">
        <v>3800000</v>
      </c>
      <c r="Q34">
        <f t="shared" si="0"/>
        <v>35800000</v>
      </c>
    </row>
    <row r="35" spans="1:17" customFormat="1">
      <c r="A35" s="4"/>
      <c r="B35" t="s">
        <v>33</v>
      </c>
      <c r="C35" t="s">
        <v>182</v>
      </c>
      <c r="D35" t="s">
        <v>75</v>
      </c>
      <c r="E35" t="s">
        <v>21</v>
      </c>
      <c r="F35" t="s">
        <v>183</v>
      </c>
      <c r="G35">
        <v>11500000</v>
      </c>
      <c r="H35">
        <v>4200000</v>
      </c>
      <c r="I35">
        <v>1150000</v>
      </c>
      <c r="J35">
        <v>1380000</v>
      </c>
      <c r="K35">
        <v>2600000</v>
      </c>
      <c r="L35">
        <v>2170000</v>
      </c>
      <c r="M35">
        <v>0</v>
      </c>
      <c r="N35">
        <v>0</v>
      </c>
      <c r="O35">
        <v>0</v>
      </c>
      <c r="P35">
        <v>2800000</v>
      </c>
      <c r="Q35">
        <f t="shared" si="0"/>
        <v>25800000</v>
      </c>
    </row>
    <row r="36" spans="1:17" customFormat="1">
      <c r="A36" s="4"/>
      <c r="B36" t="s">
        <v>33</v>
      </c>
      <c r="C36" t="s">
        <v>184</v>
      </c>
      <c r="D36" t="s">
        <v>76</v>
      </c>
      <c r="E36" t="s">
        <v>54</v>
      </c>
      <c r="F36" t="s">
        <v>185</v>
      </c>
      <c r="G36">
        <v>3200000</v>
      </c>
      <c r="H36">
        <v>0</v>
      </c>
      <c r="I36">
        <v>320000</v>
      </c>
      <c r="J36">
        <v>460000</v>
      </c>
      <c r="K36">
        <v>0</v>
      </c>
      <c r="L36">
        <v>620000</v>
      </c>
      <c r="M36">
        <v>0</v>
      </c>
      <c r="N36">
        <v>0</v>
      </c>
      <c r="O36">
        <v>0</v>
      </c>
      <c r="P36">
        <v>2100000</v>
      </c>
      <c r="Q36">
        <f t="shared" si="0"/>
        <v>6700000</v>
      </c>
    </row>
    <row r="37" spans="1:17" customFormat="1">
      <c r="A37" s="4"/>
      <c r="B37" t="s">
        <v>37</v>
      </c>
      <c r="C37" t="s">
        <v>186</v>
      </c>
      <c r="D37" t="s">
        <v>77</v>
      </c>
      <c r="E37" t="s">
        <v>21</v>
      </c>
      <c r="F37" t="s">
        <v>187</v>
      </c>
      <c r="G37">
        <v>6200000</v>
      </c>
      <c r="H37">
        <v>2300000</v>
      </c>
      <c r="I37">
        <v>620000</v>
      </c>
      <c r="J37">
        <v>740000</v>
      </c>
      <c r="K37">
        <v>1400000</v>
      </c>
      <c r="L37">
        <v>1140000</v>
      </c>
      <c r="M37">
        <v>0</v>
      </c>
      <c r="N37">
        <v>0</v>
      </c>
      <c r="O37">
        <v>0</v>
      </c>
      <c r="P37">
        <v>2500000</v>
      </c>
      <c r="Q37">
        <f t="shared" si="0"/>
        <v>14900000</v>
      </c>
    </row>
    <row r="38" spans="1:17" customFormat="1">
      <c r="A38" s="4"/>
      <c r="B38" t="s">
        <v>79</v>
      </c>
      <c r="C38" t="s">
        <v>188</v>
      </c>
      <c r="D38" t="s">
        <v>78</v>
      </c>
      <c r="E38" t="s">
        <v>21</v>
      </c>
      <c r="F38" t="s">
        <v>189</v>
      </c>
      <c r="G38">
        <v>4800000</v>
      </c>
      <c r="H38">
        <v>1800000</v>
      </c>
      <c r="I38">
        <v>480000</v>
      </c>
      <c r="J38">
        <v>580000</v>
      </c>
      <c r="K38">
        <v>1100000</v>
      </c>
      <c r="L38">
        <v>840000</v>
      </c>
      <c r="M38">
        <v>0</v>
      </c>
      <c r="N38">
        <v>0</v>
      </c>
      <c r="O38">
        <v>0</v>
      </c>
      <c r="P38">
        <v>2200000</v>
      </c>
      <c r="Q38">
        <f t="shared" si="0"/>
        <v>11800000</v>
      </c>
    </row>
    <row r="39" spans="1:17" customFormat="1">
      <c r="A39" s="4"/>
      <c r="B39" t="s">
        <v>40</v>
      </c>
      <c r="C39" t="s">
        <v>190</v>
      </c>
      <c r="D39" t="s">
        <v>80</v>
      </c>
      <c r="E39" t="s">
        <v>21</v>
      </c>
      <c r="F39" t="s">
        <v>191</v>
      </c>
      <c r="G39">
        <v>2900000</v>
      </c>
      <c r="H39">
        <v>1100000</v>
      </c>
      <c r="I39">
        <v>290000</v>
      </c>
      <c r="J39">
        <v>350000</v>
      </c>
      <c r="K39">
        <v>680000</v>
      </c>
      <c r="L39">
        <v>480000</v>
      </c>
      <c r="M39">
        <v>0</v>
      </c>
      <c r="N39">
        <v>0</v>
      </c>
      <c r="O39">
        <v>0</v>
      </c>
      <c r="P39">
        <v>1600000</v>
      </c>
      <c r="Q39">
        <f t="shared" si="0"/>
        <v>7400000</v>
      </c>
    </row>
    <row r="40" spans="1:17" customFormat="1">
      <c r="A40" s="4"/>
      <c r="B40" t="s">
        <v>39</v>
      </c>
      <c r="C40" t="s">
        <v>192</v>
      </c>
      <c r="D40" t="s">
        <v>81</v>
      </c>
      <c r="E40" t="s">
        <v>21</v>
      </c>
      <c r="F40" t="s">
        <v>193</v>
      </c>
      <c r="G40">
        <v>2400000</v>
      </c>
      <c r="H40">
        <v>0</v>
      </c>
      <c r="I40">
        <v>240000</v>
      </c>
      <c r="J40">
        <v>340000</v>
      </c>
      <c r="K40">
        <v>0</v>
      </c>
      <c r="L40">
        <v>520000</v>
      </c>
      <c r="M40">
        <v>0</v>
      </c>
      <c r="N40">
        <v>0</v>
      </c>
      <c r="O40">
        <v>0</v>
      </c>
      <c r="P40">
        <v>1900000</v>
      </c>
      <c r="Q40">
        <f t="shared" si="0"/>
        <v>5400000</v>
      </c>
    </row>
    <row r="41" spans="1:17" customFormat="1">
      <c r="A41" s="4"/>
      <c r="B41" t="s">
        <v>31</v>
      </c>
      <c r="C41" t="s">
        <v>194</v>
      </c>
      <c r="D41" t="s">
        <v>82</v>
      </c>
      <c r="E41" t="s">
        <v>54</v>
      </c>
      <c r="F41" t="s">
        <v>195</v>
      </c>
      <c r="G41">
        <v>1400000</v>
      </c>
      <c r="H41">
        <v>0</v>
      </c>
      <c r="I41">
        <v>140000</v>
      </c>
      <c r="J41">
        <v>200000</v>
      </c>
      <c r="K41">
        <v>0</v>
      </c>
      <c r="L41">
        <v>260000</v>
      </c>
      <c r="M41">
        <v>0</v>
      </c>
      <c r="N41">
        <v>0</v>
      </c>
      <c r="O41">
        <v>0</v>
      </c>
      <c r="P41">
        <v>980000</v>
      </c>
      <c r="Q41">
        <f t="shared" si="0"/>
        <v>2980000</v>
      </c>
    </row>
    <row r="42" spans="1:17" customFormat="1">
      <c r="A42" s="4"/>
      <c r="B42" t="s">
        <v>32</v>
      </c>
      <c r="C42" t="s">
        <v>196</v>
      </c>
      <c r="D42" t="s">
        <v>83</v>
      </c>
      <c r="E42" t="s">
        <v>54</v>
      </c>
      <c r="F42" t="s">
        <v>197</v>
      </c>
      <c r="G42">
        <v>1600000</v>
      </c>
      <c r="H42">
        <v>0</v>
      </c>
      <c r="I42">
        <v>160000</v>
      </c>
      <c r="J42">
        <v>230000</v>
      </c>
      <c r="K42">
        <v>0</v>
      </c>
      <c r="L42">
        <v>310000</v>
      </c>
      <c r="M42">
        <v>0</v>
      </c>
      <c r="N42">
        <v>0</v>
      </c>
      <c r="O42">
        <v>0</v>
      </c>
      <c r="P42">
        <v>1100000</v>
      </c>
      <c r="Q42">
        <f t="shared" si="0"/>
        <v>3400000</v>
      </c>
    </row>
    <row r="43" spans="1:17" customFormat="1">
      <c r="A43" s="4"/>
      <c r="B43" t="s">
        <v>85</v>
      </c>
      <c r="C43" t="s">
        <v>198</v>
      </c>
      <c r="D43" t="s">
        <v>84</v>
      </c>
      <c r="E43" t="s">
        <v>54</v>
      </c>
      <c r="F43" t="s">
        <v>199</v>
      </c>
      <c r="G43">
        <v>1200000</v>
      </c>
      <c r="H43">
        <v>0</v>
      </c>
      <c r="I43">
        <v>120000</v>
      </c>
      <c r="J43">
        <v>180000</v>
      </c>
      <c r="K43">
        <v>0</v>
      </c>
      <c r="L43">
        <v>220000</v>
      </c>
      <c r="M43">
        <v>0</v>
      </c>
      <c r="N43">
        <v>0</v>
      </c>
      <c r="O43">
        <v>0</v>
      </c>
      <c r="P43">
        <v>850000</v>
      </c>
      <c r="Q43">
        <f t="shared" si="0"/>
        <v>2570000</v>
      </c>
    </row>
    <row r="44" spans="1:17" customFormat="1">
      <c r="A44" s="4"/>
      <c r="B44" t="s">
        <v>87</v>
      </c>
      <c r="C44" t="s">
        <v>200</v>
      </c>
      <c r="D44" t="s">
        <v>86</v>
      </c>
      <c r="E44" t="s">
        <v>54</v>
      </c>
      <c r="F44" t="s">
        <v>201</v>
      </c>
      <c r="G44">
        <v>1050000</v>
      </c>
      <c r="H44">
        <v>0</v>
      </c>
      <c r="I44">
        <v>105000</v>
      </c>
      <c r="J44">
        <v>160000</v>
      </c>
      <c r="K44">
        <v>0</v>
      </c>
      <c r="L44">
        <v>185000</v>
      </c>
      <c r="M44">
        <v>0</v>
      </c>
      <c r="N44">
        <v>0</v>
      </c>
      <c r="O44">
        <v>0</v>
      </c>
      <c r="P44">
        <v>750000</v>
      </c>
      <c r="Q44">
        <f t="shared" si="0"/>
        <v>2250000</v>
      </c>
    </row>
    <row r="45" spans="1:17" customFormat="1">
      <c r="A45" s="4"/>
      <c r="B45" t="s">
        <v>89</v>
      </c>
      <c r="C45" t="s">
        <v>202</v>
      </c>
      <c r="D45" t="s">
        <v>88</v>
      </c>
      <c r="E45" t="s">
        <v>54</v>
      </c>
      <c r="F45" t="s">
        <v>203</v>
      </c>
      <c r="G45">
        <v>890000</v>
      </c>
      <c r="H45">
        <v>0</v>
      </c>
      <c r="I45">
        <v>89000</v>
      </c>
      <c r="J45">
        <v>135000</v>
      </c>
      <c r="K45">
        <v>0</v>
      </c>
      <c r="L45">
        <v>166000</v>
      </c>
      <c r="M45">
        <v>0</v>
      </c>
      <c r="N45">
        <v>0</v>
      </c>
      <c r="O45">
        <v>0</v>
      </c>
      <c r="P45">
        <v>650000</v>
      </c>
      <c r="Q45">
        <f t="shared" si="0"/>
        <v>1930000</v>
      </c>
    </row>
    <row r="46" spans="1:17" customFormat="1">
      <c r="A46" s="4"/>
      <c r="B46" t="s">
        <v>91</v>
      </c>
      <c r="C46" t="s">
        <v>204</v>
      </c>
      <c r="D46" t="s">
        <v>90</v>
      </c>
      <c r="E46" t="s">
        <v>21</v>
      </c>
      <c r="F46" t="s">
        <v>205</v>
      </c>
      <c r="G46">
        <v>2800000</v>
      </c>
      <c r="H46">
        <v>1050000</v>
      </c>
      <c r="I46">
        <v>280000</v>
      </c>
      <c r="J46">
        <v>340000</v>
      </c>
      <c r="K46">
        <v>0</v>
      </c>
      <c r="L46">
        <v>630000</v>
      </c>
      <c r="M46">
        <v>500000</v>
      </c>
      <c r="N46">
        <v>0</v>
      </c>
      <c r="O46">
        <v>0</v>
      </c>
      <c r="P46">
        <v>1800000</v>
      </c>
      <c r="Q46">
        <f t="shared" si="0"/>
        <v>7400000</v>
      </c>
    </row>
    <row r="47" spans="1:17" customFormat="1">
      <c r="A47" s="4"/>
      <c r="B47" t="s">
        <v>93</v>
      </c>
      <c r="C47" t="s">
        <v>206</v>
      </c>
      <c r="D47" t="s">
        <v>92</v>
      </c>
      <c r="E47" t="s">
        <v>21</v>
      </c>
      <c r="F47" t="s">
        <v>207</v>
      </c>
      <c r="G47">
        <v>2100000</v>
      </c>
      <c r="H47">
        <v>780000</v>
      </c>
      <c r="I47">
        <v>210000</v>
      </c>
      <c r="J47">
        <v>250000</v>
      </c>
      <c r="K47">
        <v>520000</v>
      </c>
      <c r="L47">
        <v>340000</v>
      </c>
      <c r="M47">
        <v>0</v>
      </c>
      <c r="N47">
        <v>0</v>
      </c>
      <c r="O47">
        <v>0</v>
      </c>
      <c r="P47">
        <v>1200000</v>
      </c>
      <c r="Q47">
        <f t="shared" si="0"/>
        <v>5400000</v>
      </c>
    </row>
    <row r="48" spans="1:17" customFormat="1">
      <c r="A48" s="4"/>
      <c r="B48" t="s">
        <v>95</v>
      </c>
      <c r="C48" t="s">
        <v>208</v>
      </c>
      <c r="D48" t="s">
        <v>94</v>
      </c>
      <c r="E48" t="s">
        <v>21</v>
      </c>
      <c r="F48" t="s">
        <v>209</v>
      </c>
      <c r="G48">
        <v>4500000</v>
      </c>
      <c r="H48">
        <v>1650000</v>
      </c>
      <c r="I48">
        <v>450000</v>
      </c>
      <c r="J48">
        <v>540000</v>
      </c>
      <c r="K48">
        <v>1050000</v>
      </c>
      <c r="L48">
        <v>810000</v>
      </c>
      <c r="M48">
        <v>0</v>
      </c>
      <c r="N48">
        <v>0</v>
      </c>
      <c r="O48">
        <v>0</v>
      </c>
      <c r="P48">
        <v>1900000</v>
      </c>
      <c r="Q48">
        <f t="shared" si="0"/>
        <v>10900000</v>
      </c>
    </row>
    <row r="49" spans="1:17" customFormat="1">
      <c r="A49" s="4"/>
      <c r="B49" t="s">
        <v>97</v>
      </c>
      <c r="C49" t="s">
        <v>210</v>
      </c>
      <c r="D49" t="s">
        <v>96</v>
      </c>
      <c r="E49" t="s">
        <v>54</v>
      </c>
      <c r="F49" t="s">
        <v>211</v>
      </c>
      <c r="G49">
        <v>1150000</v>
      </c>
      <c r="H49">
        <v>0</v>
      </c>
      <c r="I49">
        <v>115000</v>
      </c>
      <c r="J49">
        <v>175000</v>
      </c>
      <c r="K49">
        <v>0</v>
      </c>
      <c r="L49">
        <v>210000</v>
      </c>
      <c r="M49">
        <v>0</v>
      </c>
      <c r="N49">
        <v>0</v>
      </c>
      <c r="O49">
        <v>0</v>
      </c>
      <c r="P49">
        <v>800000</v>
      </c>
      <c r="Q49">
        <f t="shared" si="0"/>
        <v>2450000</v>
      </c>
    </row>
    <row r="50" spans="1:17" customFormat="1">
      <c r="A50" s="4"/>
      <c r="B50" t="s">
        <v>99</v>
      </c>
      <c r="C50" t="s">
        <v>212</v>
      </c>
      <c r="D50" t="s">
        <v>98</v>
      </c>
      <c r="E50" t="s">
        <v>52</v>
      </c>
      <c r="F50" t="s">
        <v>213</v>
      </c>
      <c r="G50">
        <v>580000</v>
      </c>
      <c r="H50">
        <v>170000</v>
      </c>
      <c r="I50">
        <v>30000</v>
      </c>
      <c r="J50">
        <v>265000</v>
      </c>
      <c r="K50">
        <v>115000</v>
      </c>
      <c r="L50">
        <v>0</v>
      </c>
      <c r="M50">
        <v>0</v>
      </c>
      <c r="N50">
        <v>0</v>
      </c>
      <c r="O50">
        <v>0</v>
      </c>
      <c r="P50">
        <v>0</v>
      </c>
      <c r="Q50">
        <f t="shared" si="0"/>
        <v>1160000</v>
      </c>
    </row>
    <row r="51" spans="1:17" customFormat="1">
      <c r="A51" s="4"/>
      <c r="B51" t="s">
        <v>101</v>
      </c>
      <c r="C51" t="s">
        <v>214</v>
      </c>
      <c r="D51" t="s">
        <v>100</v>
      </c>
      <c r="E51" t="s">
        <v>21</v>
      </c>
      <c r="F51" t="s">
        <v>215</v>
      </c>
      <c r="G51">
        <v>5200000</v>
      </c>
      <c r="H51">
        <v>1900000</v>
      </c>
      <c r="I51">
        <v>520000</v>
      </c>
      <c r="J51">
        <v>620000</v>
      </c>
      <c r="K51">
        <v>1200000</v>
      </c>
      <c r="L51">
        <v>960000</v>
      </c>
      <c r="M51">
        <v>0</v>
      </c>
      <c r="N51">
        <v>0</v>
      </c>
      <c r="O51">
        <v>0</v>
      </c>
      <c r="P51">
        <v>2400000</v>
      </c>
      <c r="Q51">
        <f t="shared" si="0"/>
        <v>12800000</v>
      </c>
    </row>
    <row r="52" spans="1:17" customFormat="1">
      <c r="A52" s="4"/>
      <c r="B52" t="s">
        <v>103</v>
      </c>
      <c r="C52" t="s">
        <v>216</v>
      </c>
      <c r="D52" t="s">
        <v>102</v>
      </c>
      <c r="E52" t="s">
        <v>54</v>
      </c>
      <c r="F52" t="s">
        <v>217</v>
      </c>
      <c r="G52">
        <v>1400000</v>
      </c>
      <c r="H52">
        <v>0</v>
      </c>
      <c r="I52">
        <v>140000</v>
      </c>
      <c r="J52">
        <v>200000</v>
      </c>
      <c r="K52">
        <v>0</v>
      </c>
      <c r="L52">
        <v>260000</v>
      </c>
      <c r="M52">
        <v>0</v>
      </c>
      <c r="N52">
        <v>0</v>
      </c>
      <c r="O52">
        <v>0</v>
      </c>
      <c r="P52">
        <v>950000</v>
      </c>
      <c r="Q52">
        <f t="shared" si="0"/>
        <v>2950000</v>
      </c>
    </row>
    <row r="53" spans="1:17" customFormat="1">
      <c r="A53" s="4"/>
      <c r="B53" t="s">
        <v>105</v>
      </c>
      <c r="C53" t="s">
        <v>218</v>
      </c>
      <c r="D53" t="s">
        <v>104</v>
      </c>
      <c r="E53" t="s">
        <v>54</v>
      </c>
      <c r="F53" t="s">
        <v>219</v>
      </c>
      <c r="G53">
        <v>1080000</v>
      </c>
      <c r="H53">
        <v>0</v>
      </c>
      <c r="I53">
        <v>108000</v>
      </c>
      <c r="J53">
        <v>165000</v>
      </c>
      <c r="K53">
        <v>0</v>
      </c>
      <c r="L53">
        <v>197000</v>
      </c>
      <c r="M53">
        <v>0</v>
      </c>
      <c r="N53">
        <v>0</v>
      </c>
      <c r="O53">
        <v>0</v>
      </c>
      <c r="P53">
        <v>750000</v>
      </c>
      <c r="Q53">
        <f t="shared" si="0"/>
        <v>2300000</v>
      </c>
    </row>
    <row r="54" spans="1:17" customFormat="1">
      <c r="A54" s="4"/>
      <c r="B54" t="s">
        <v>107</v>
      </c>
      <c r="C54" t="s">
        <v>220</v>
      </c>
      <c r="D54" t="s">
        <v>106</v>
      </c>
      <c r="E54" t="s">
        <v>54</v>
      </c>
      <c r="F54" t="s">
        <v>221</v>
      </c>
      <c r="G54">
        <v>920000</v>
      </c>
      <c r="H54">
        <v>0</v>
      </c>
      <c r="I54">
        <v>92000</v>
      </c>
      <c r="J54">
        <v>140000</v>
      </c>
      <c r="K54">
        <v>0</v>
      </c>
      <c r="L54">
        <v>168000</v>
      </c>
      <c r="M54">
        <v>0</v>
      </c>
      <c r="N54">
        <v>0</v>
      </c>
      <c r="O54">
        <v>0</v>
      </c>
      <c r="P54">
        <v>650000</v>
      </c>
      <c r="Q54">
        <f t="shared" si="0"/>
        <v>1970000</v>
      </c>
    </row>
    <row r="55" spans="1:17" customFormat="1">
      <c r="A55" s="4"/>
      <c r="B55" t="s">
        <v>22</v>
      </c>
      <c r="C55" t="s">
        <v>222</v>
      </c>
      <c r="D55" t="s">
        <v>108</v>
      </c>
      <c r="E55" t="s">
        <v>21</v>
      </c>
      <c r="F55" t="s">
        <v>223</v>
      </c>
      <c r="G55">
        <v>3300000</v>
      </c>
      <c r="H55">
        <v>1200000</v>
      </c>
      <c r="I55">
        <v>330000</v>
      </c>
      <c r="J55">
        <v>390000</v>
      </c>
      <c r="K55">
        <v>780000</v>
      </c>
      <c r="L55">
        <v>600000</v>
      </c>
      <c r="M55">
        <v>0</v>
      </c>
      <c r="N55">
        <v>0</v>
      </c>
      <c r="O55">
        <v>0</v>
      </c>
      <c r="P55">
        <v>1900000</v>
      </c>
      <c r="Q55">
        <f t="shared" si="0"/>
        <v>8500000</v>
      </c>
    </row>
    <row r="56" spans="1:17" customFormat="1">
      <c r="A56" s="4"/>
      <c r="B56" t="s">
        <v>44</v>
      </c>
      <c r="C56" t="s">
        <v>224</v>
      </c>
      <c r="D56" t="s">
        <v>109</v>
      </c>
      <c r="E56" t="s">
        <v>52</v>
      </c>
      <c r="F56" t="s">
        <v>225</v>
      </c>
      <c r="G56">
        <v>780000</v>
      </c>
      <c r="H56">
        <v>230000</v>
      </c>
      <c r="I56">
        <v>40000</v>
      </c>
      <c r="J56">
        <v>360000</v>
      </c>
      <c r="K56">
        <v>150000</v>
      </c>
      <c r="L56">
        <v>0</v>
      </c>
      <c r="M56">
        <v>0</v>
      </c>
      <c r="N56">
        <v>0</v>
      </c>
      <c r="O56">
        <v>0</v>
      </c>
      <c r="P56">
        <v>0</v>
      </c>
      <c r="Q56">
        <f t="shared" si="0"/>
        <v>1560000</v>
      </c>
    </row>
    <row r="57" spans="1:17" customFormat="1">
      <c r="A57" s="4"/>
      <c r="B57" t="s">
        <v>44</v>
      </c>
      <c r="C57" t="s">
        <v>226</v>
      </c>
      <c r="D57" t="s">
        <v>110</v>
      </c>
      <c r="E57" t="s">
        <v>52</v>
      </c>
      <c r="F57" t="s">
        <v>227</v>
      </c>
      <c r="G57">
        <v>980000</v>
      </c>
      <c r="H57">
        <v>290000</v>
      </c>
      <c r="I57">
        <v>48000</v>
      </c>
      <c r="J57">
        <v>450000</v>
      </c>
      <c r="K57">
        <v>192000</v>
      </c>
      <c r="L57">
        <v>0</v>
      </c>
      <c r="M57">
        <v>0</v>
      </c>
      <c r="N57">
        <v>0</v>
      </c>
      <c r="O57">
        <v>0</v>
      </c>
      <c r="P57">
        <v>0</v>
      </c>
      <c r="Q57">
        <f t="shared" si="0"/>
        <v>1960000</v>
      </c>
    </row>
    <row r="58" spans="1:17" customFormat="1">
      <c r="A58" s="4"/>
      <c r="B58" t="s">
        <v>44</v>
      </c>
      <c r="C58" t="s">
        <v>228</v>
      </c>
      <c r="D58" t="s">
        <v>111</v>
      </c>
      <c r="E58" t="s">
        <v>52</v>
      </c>
      <c r="F58" t="s">
        <v>229</v>
      </c>
      <c r="G58">
        <v>620000</v>
      </c>
      <c r="H58">
        <v>180000</v>
      </c>
      <c r="I58">
        <v>32000</v>
      </c>
      <c r="J58">
        <v>285000</v>
      </c>
      <c r="K58">
        <v>123000</v>
      </c>
      <c r="L58">
        <v>0</v>
      </c>
      <c r="M58">
        <v>0</v>
      </c>
      <c r="N58">
        <v>0</v>
      </c>
      <c r="O58">
        <v>0</v>
      </c>
      <c r="P58">
        <v>0</v>
      </c>
      <c r="Q58">
        <f t="shared" si="0"/>
        <v>1240000</v>
      </c>
    </row>
    <row r="59" spans="1:17" customFormat="1">
      <c r="A59" s="4"/>
      <c r="B59" t="s">
        <v>44</v>
      </c>
      <c r="C59" t="s">
        <v>230</v>
      </c>
      <c r="D59" t="s">
        <v>112</v>
      </c>
      <c r="E59" t="s">
        <v>52</v>
      </c>
      <c r="F59" t="s">
        <v>231</v>
      </c>
      <c r="G59">
        <v>850000</v>
      </c>
      <c r="H59">
        <v>250000</v>
      </c>
      <c r="I59">
        <v>42000</v>
      </c>
      <c r="J59">
        <v>390000</v>
      </c>
      <c r="K59">
        <v>168000</v>
      </c>
      <c r="L59">
        <v>0</v>
      </c>
      <c r="M59">
        <v>0</v>
      </c>
      <c r="N59">
        <v>0</v>
      </c>
      <c r="O59">
        <v>0</v>
      </c>
      <c r="P59">
        <v>0</v>
      </c>
      <c r="Q59">
        <f t="shared" si="0"/>
        <v>1700000</v>
      </c>
    </row>
    <row r="60" spans="1:17" customFormat="1">
      <c r="A60" s="4"/>
      <c r="B60" t="s">
        <v>29</v>
      </c>
      <c r="C60" t="s">
        <v>232</v>
      </c>
      <c r="D60" t="s">
        <v>113</v>
      </c>
      <c r="E60" t="s">
        <v>52</v>
      </c>
      <c r="F60" t="s">
        <v>233</v>
      </c>
      <c r="G60">
        <v>690000</v>
      </c>
      <c r="H60">
        <v>200000</v>
      </c>
      <c r="I60">
        <v>35000</v>
      </c>
      <c r="J60">
        <v>315000</v>
      </c>
      <c r="K60">
        <v>140000</v>
      </c>
      <c r="L60">
        <v>0</v>
      </c>
      <c r="M60">
        <v>0</v>
      </c>
      <c r="N60">
        <v>0</v>
      </c>
      <c r="O60">
        <v>0</v>
      </c>
      <c r="P60">
        <v>0</v>
      </c>
      <c r="Q60">
        <f t="shared" si="0"/>
        <v>1380000</v>
      </c>
    </row>
    <row r="61" spans="1:17" customFormat="1">
      <c r="A61" s="4"/>
      <c r="B61" t="s">
        <v>115</v>
      </c>
      <c r="C61" t="s">
        <v>234</v>
      </c>
      <c r="D61" t="s">
        <v>114</v>
      </c>
      <c r="E61" t="s">
        <v>52</v>
      </c>
      <c r="F61" t="s">
        <v>235</v>
      </c>
      <c r="G61">
        <v>480000</v>
      </c>
      <c r="H61">
        <v>140000</v>
      </c>
      <c r="I61">
        <v>25000</v>
      </c>
      <c r="J61">
        <v>220000</v>
      </c>
      <c r="K61">
        <v>95000</v>
      </c>
      <c r="L61">
        <v>0</v>
      </c>
      <c r="M61">
        <v>0</v>
      </c>
      <c r="N61">
        <v>0</v>
      </c>
      <c r="O61">
        <v>0</v>
      </c>
      <c r="P61">
        <v>0</v>
      </c>
      <c r="Q61">
        <f t="shared" si="0"/>
        <v>960000</v>
      </c>
    </row>
    <row r="62" spans="1:17" customFormat="1">
      <c r="A62" s="4"/>
      <c r="B62" t="s">
        <v>117</v>
      </c>
      <c r="C62" t="s">
        <v>236</v>
      </c>
      <c r="D62" t="s">
        <v>116</v>
      </c>
      <c r="E62" t="s">
        <v>52</v>
      </c>
      <c r="F62" t="s">
        <v>237</v>
      </c>
      <c r="G62">
        <v>520000</v>
      </c>
      <c r="H62">
        <v>152000</v>
      </c>
      <c r="I62">
        <v>27000</v>
      </c>
      <c r="J62">
        <v>238000</v>
      </c>
      <c r="K62">
        <v>103000</v>
      </c>
      <c r="L62">
        <v>0</v>
      </c>
      <c r="M62">
        <v>0</v>
      </c>
      <c r="N62">
        <v>0</v>
      </c>
      <c r="O62">
        <v>0</v>
      </c>
      <c r="P62">
        <v>0</v>
      </c>
      <c r="Q62">
        <f t="shared" si="0"/>
        <v>1040000</v>
      </c>
    </row>
    <row r="63" spans="1:17" customFormat="1">
      <c r="A63" s="4"/>
      <c r="B63" t="s">
        <v>93</v>
      </c>
      <c r="C63" t="s">
        <v>238</v>
      </c>
      <c r="D63" t="s">
        <v>118</v>
      </c>
      <c r="E63" t="s">
        <v>52</v>
      </c>
      <c r="F63" t="s">
        <v>239</v>
      </c>
      <c r="G63">
        <v>420000</v>
      </c>
      <c r="H63">
        <v>122000</v>
      </c>
      <c r="I63">
        <v>22000</v>
      </c>
      <c r="J63">
        <v>192000</v>
      </c>
      <c r="K63">
        <v>84000</v>
      </c>
      <c r="L63">
        <v>0</v>
      </c>
      <c r="M63">
        <v>0</v>
      </c>
      <c r="N63">
        <v>0</v>
      </c>
      <c r="O63">
        <v>0</v>
      </c>
      <c r="P63">
        <v>0</v>
      </c>
      <c r="Q63">
        <f t="shared" si="0"/>
        <v>840000</v>
      </c>
    </row>
    <row r="64" spans="1:17" customFormat="1">
      <c r="A64" s="4"/>
      <c r="B64" t="s">
        <v>37</v>
      </c>
      <c r="C64" t="s">
        <v>240</v>
      </c>
      <c r="D64" t="s">
        <v>119</v>
      </c>
      <c r="E64" t="s">
        <v>52</v>
      </c>
      <c r="F64" t="s">
        <v>241</v>
      </c>
      <c r="G64">
        <v>580000</v>
      </c>
      <c r="H64">
        <v>170000</v>
      </c>
      <c r="I64">
        <v>30000</v>
      </c>
      <c r="J64">
        <v>265000</v>
      </c>
      <c r="K64">
        <v>115000</v>
      </c>
      <c r="L64">
        <v>0</v>
      </c>
      <c r="M64">
        <v>0</v>
      </c>
      <c r="N64">
        <v>0</v>
      </c>
      <c r="O64">
        <v>0</v>
      </c>
      <c r="P64">
        <v>0</v>
      </c>
      <c r="Q64">
        <f t="shared" si="0"/>
        <v>1160000</v>
      </c>
    </row>
    <row r="65" spans="1:47" customFormat="1">
      <c r="A65" s="4"/>
      <c r="B65" t="s">
        <v>38</v>
      </c>
      <c r="C65" t="s">
        <v>242</v>
      </c>
      <c r="D65" t="s">
        <v>120</v>
      </c>
      <c r="E65" t="s">
        <v>54</v>
      </c>
      <c r="F65" t="s">
        <v>243</v>
      </c>
      <c r="G65">
        <v>680000</v>
      </c>
      <c r="H65">
        <v>0</v>
      </c>
      <c r="I65">
        <v>68000</v>
      </c>
      <c r="J65">
        <v>105000</v>
      </c>
      <c r="K65">
        <v>0</v>
      </c>
      <c r="L65">
        <v>127000</v>
      </c>
      <c r="M65">
        <v>0</v>
      </c>
      <c r="N65">
        <v>0</v>
      </c>
      <c r="O65">
        <v>0</v>
      </c>
      <c r="P65">
        <v>520000</v>
      </c>
      <c r="Q65">
        <f t="shared" si="0"/>
        <v>1500000</v>
      </c>
    </row>
    <row r="66" spans="1:47" customFormat="1">
      <c r="A66" s="4"/>
      <c r="B66" t="s">
        <v>34</v>
      </c>
      <c r="C66" t="s">
        <v>244</v>
      </c>
      <c r="D66" t="s">
        <v>121</v>
      </c>
      <c r="E66" t="s">
        <v>54</v>
      </c>
      <c r="F66" t="s">
        <v>245</v>
      </c>
      <c r="G66">
        <v>2800000</v>
      </c>
      <c r="H66">
        <v>0</v>
      </c>
      <c r="I66">
        <v>280000</v>
      </c>
      <c r="J66">
        <v>410000</v>
      </c>
      <c r="K66">
        <v>0</v>
      </c>
      <c r="L66">
        <v>530000</v>
      </c>
      <c r="M66">
        <v>0</v>
      </c>
      <c r="N66">
        <v>0</v>
      </c>
      <c r="O66">
        <v>0</v>
      </c>
      <c r="P66">
        <v>1900000</v>
      </c>
      <c r="Q66">
        <f t="shared" si="0"/>
        <v>5920000</v>
      </c>
    </row>
    <row r="67" spans="1:47" customFormat="1">
      <c r="A67" s="4"/>
      <c r="B67" t="s">
        <v>34</v>
      </c>
      <c r="C67" t="s">
        <v>246</v>
      </c>
      <c r="D67" t="s">
        <v>122</v>
      </c>
      <c r="E67" t="s">
        <v>54</v>
      </c>
      <c r="F67" t="s">
        <v>247</v>
      </c>
      <c r="G67">
        <v>2200000</v>
      </c>
      <c r="H67">
        <v>0</v>
      </c>
      <c r="I67">
        <v>220000</v>
      </c>
      <c r="J67">
        <v>320000</v>
      </c>
      <c r="K67">
        <v>0</v>
      </c>
      <c r="L67">
        <v>440000</v>
      </c>
      <c r="M67">
        <v>0</v>
      </c>
      <c r="N67">
        <v>0</v>
      </c>
      <c r="O67">
        <v>0</v>
      </c>
      <c r="P67">
        <v>1500000</v>
      </c>
      <c r="Q67">
        <f t="shared" si="0"/>
        <v>4680000</v>
      </c>
    </row>
    <row r="68" spans="1:47" customFormat="1">
      <c r="A68" s="4"/>
      <c r="B68" t="s">
        <v>34</v>
      </c>
      <c r="C68" t="s">
        <v>248</v>
      </c>
      <c r="D68" t="s">
        <v>123</v>
      </c>
      <c r="E68" t="s">
        <v>54</v>
      </c>
      <c r="F68" t="s">
        <v>249</v>
      </c>
      <c r="G68">
        <v>2500000</v>
      </c>
      <c r="H68">
        <v>0</v>
      </c>
      <c r="I68">
        <v>250000</v>
      </c>
      <c r="J68">
        <v>370000</v>
      </c>
      <c r="K68">
        <v>0</v>
      </c>
      <c r="L68">
        <v>480000</v>
      </c>
      <c r="M68">
        <v>0</v>
      </c>
      <c r="N68">
        <v>0</v>
      </c>
      <c r="O68">
        <v>0</v>
      </c>
      <c r="P68">
        <v>1700000</v>
      </c>
      <c r="Q68">
        <f t="shared" si="0"/>
        <v>5300000</v>
      </c>
    </row>
    <row r="69" spans="1:47" customFormat="1">
      <c r="A69" s="4"/>
      <c r="B69" t="s">
        <v>35</v>
      </c>
      <c r="C69" t="s">
        <v>250</v>
      </c>
      <c r="D69" t="s">
        <v>124</v>
      </c>
      <c r="E69" t="s">
        <v>54</v>
      </c>
      <c r="F69" t="s">
        <v>251</v>
      </c>
      <c r="G69">
        <v>1100000</v>
      </c>
      <c r="H69">
        <v>0</v>
      </c>
      <c r="I69">
        <v>110000</v>
      </c>
      <c r="J69">
        <v>165000</v>
      </c>
      <c r="K69">
        <v>0</v>
      </c>
      <c r="L69">
        <v>225000</v>
      </c>
      <c r="M69">
        <v>0</v>
      </c>
      <c r="N69">
        <v>0</v>
      </c>
      <c r="O69">
        <v>0</v>
      </c>
      <c r="P69">
        <v>780000</v>
      </c>
      <c r="Q69">
        <f t="shared" si="0"/>
        <v>2380000</v>
      </c>
    </row>
    <row r="70" spans="1:47" customFormat="1">
      <c r="A70" s="4"/>
      <c r="B70" t="s">
        <v>35</v>
      </c>
      <c r="C70" t="s">
        <v>252</v>
      </c>
      <c r="D70" t="s">
        <v>125</v>
      </c>
      <c r="E70" t="s">
        <v>54</v>
      </c>
      <c r="F70" t="s">
        <v>253</v>
      </c>
      <c r="G70">
        <v>780000</v>
      </c>
      <c r="H70">
        <v>0</v>
      </c>
      <c r="I70">
        <v>78000</v>
      </c>
      <c r="J70">
        <v>118000</v>
      </c>
      <c r="K70">
        <v>0</v>
      </c>
      <c r="L70">
        <v>154000</v>
      </c>
      <c r="M70">
        <v>0</v>
      </c>
      <c r="N70">
        <v>0</v>
      </c>
      <c r="O70">
        <v>0</v>
      </c>
      <c r="P70">
        <v>550000</v>
      </c>
      <c r="Q70">
        <f t="shared" si="0"/>
        <v>1680000</v>
      </c>
    </row>
    <row r="71" spans="1:47" ht="14.5" customHeight="1" outlineLevel="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47" ht="14.5" customHeight="1">
      <c r="B72" s="17" t="s">
        <v>41</v>
      </c>
      <c r="C72" s="17"/>
      <c r="D72" s="17"/>
      <c r="E72" s="13"/>
      <c r="F72" s="13"/>
      <c r="G72" s="10">
        <f t="shared" ref="G72:P72" si="1">SUM(G7:G70)</f>
        <v>360620000</v>
      </c>
      <c r="H72" s="10">
        <f t="shared" si="1"/>
        <v>118954000</v>
      </c>
      <c r="I72" s="10">
        <f t="shared" si="1"/>
        <v>34784000</v>
      </c>
      <c r="J72" s="10">
        <f t="shared" si="1"/>
        <v>39663000</v>
      </c>
      <c r="K72" s="10">
        <f t="shared" si="1"/>
        <v>47997000</v>
      </c>
      <c r="L72" s="10">
        <f t="shared" si="1"/>
        <v>60632000</v>
      </c>
      <c r="M72" s="10">
        <f t="shared" si="1"/>
        <v>37100000</v>
      </c>
      <c r="N72" s="10">
        <f t="shared" si="1"/>
        <v>3500000</v>
      </c>
      <c r="O72" s="10">
        <f t="shared" si="1"/>
        <v>2950000</v>
      </c>
      <c r="P72" s="10">
        <f t="shared" si="1"/>
        <v>96380000</v>
      </c>
      <c r="Q72" s="10">
        <f>SUM(Q7:Q70)</f>
        <v>802580000</v>
      </c>
    </row>
    <row r="73" spans="1:47"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spans="1:47">
      <c r="F7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47"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47">
      <c r="A76" s="1"/>
      <c r="C76" s="4"/>
      <c r="N76" s="14"/>
    </row>
    <row r="77" spans="1:47" s="1" customFormat="1">
      <c r="C77" s="4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" customFormat="1">
      <c r="C78" s="4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" customFormat="1">
      <c r="C79" s="4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" customFormat="1">
      <c r="A80" s="4"/>
      <c r="C80" s="5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</sheetData>
  <mergeCells count="1">
    <mergeCell ref="B72:D7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B9BD5CCBAF1448722CAC9F0A67163" ma:contentTypeVersion="19" ma:contentTypeDescription="Create a new document." ma:contentTypeScope="" ma:versionID="d13d31ead20d27d69202087daf34c465">
  <xsd:schema xmlns:xsd="http://www.w3.org/2001/XMLSchema" xmlns:xs="http://www.w3.org/2001/XMLSchema" xmlns:p="http://schemas.microsoft.com/office/2006/metadata/properties" xmlns:ns2="ca11ca2f-01e5-493b-bb15-47564d08beeb" xmlns:ns3="72e9687c-dd16-42a4-b22f-37506a5a0d78" targetNamespace="http://schemas.microsoft.com/office/2006/metadata/properties" ma:root="true" ma:fieldsID="ff65be263a3b8d3bd0dfe98e55cd9515" ns2:_="" ns3:_="">
    <xsd:import namespace="ca11ca2f-01e5-493b-bb15-47564d08beeb"/>
    <xsd:import namespace="72e9687c-dd16-42a4-b22f-37506a5a0d78"/>
    <xsd:element name="properties">
      <xsd:complexType>
        <xsd:sequence>
          <xsd:element name="documentManagement">
            <xsd:complexType>
              <xsd:all>
                <xsd:element ref="ns2:MediaServiceKeyPoint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1ca2f-01e5-493b-bb15-47564d08beeb" elementFormDefault="qualified">
    <xsd:import namespace="http://schemas.microsoft.com/office/2006/documentManagement/types"/>
    <xsd:import namespace="http://schemas.microsoft.com/office/infopath/2007/PartnerControls"/>
    <xsd:element name="MediaServiceKeyPoints" ma:index="8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b759d9-c278-43ca-aa9a-a03f363256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687c-dd16-42a4-b22f-37506a5a0d7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4c7aca-78e0-4883-bf11-6a0bb0833816}" ma:internalName="TaxCatchAll" ma:showField="CatchAllData" ma:web="72e9687c-dd16-42a4-b22f-37506a5a0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e9687c-dd16-42a4-b22f-37506a5a0d78" xsi:nil="true"/>
    <lcf76f155ced4ddcb4097134ff3c332f xmlns="ca11ca2f-01e5-493b-bb15-47564d08be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96D9B8-B63E-4365-8160-C5FD3331F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1ca2f-01e5-493b-bb15-47564d08beeb"/>
    <ds:schemaRef ds:uri="72e9687c-dd16-42a4-b22f-37506a5a0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544B30-2F4A-4C87-AE99-36BD3CF47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5EA2B3-D5F1-4BCA-8B03-ACB94ED8953E}">
  <ds:schemaRefs>
    <ds:schemaRef ds:uri="http://schemas.microsoft.com/office/2006/metadata/properties"/>
    <ds:schemaRef ds:uri="http://schemas.microsoft.com/office/infopath/2007/PartnerControls"/>
    <ds:schemaRef ds:uri="29f32099-ee5a-49c0-9c71-92159c11c161"/>
    <ds:schemaRef ds:uri="56377bc2-faa9-4f96-aa2c-273fb44c0c4d"/>
    <ds:schemaRef ds:uri="72e9687c-dd16-42a4-b22f-37506a5a0d78"/>
    <ds:schemaRef ds:uri="ca11ca2f-01e5-493b-bb15-47564d08be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PDBI Values (Final)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See, Vian</dc:creator>
  <cp:keywords/>
  <dc:description/>
  <cp:lastModifiedBy>Roland Buergi</cp:lastModifiedBy>
  <cp:revision/>
  <dcterms:created xsi:type="dcterms:W3CDTF">2024-02-09T07:47:36Z</dcterms:created>
  <dcterms:modified xsi:type="dcterms:W3CDTF">2025-10-27T20:06:15Z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2024-02-09T07:48:28Z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7c831574-b2e0-49ba-9d5d-555f3fd16064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0x01010056CB9BD5CCBAF1448722CAC9F0A67163</vt:lpwstr>
  </property>
  <property fmtid="{D5CDD505-2E9C-101B-9397-08002B2CF9AE}" pid="10" name="MediaServiceImageTags">
    <vt:lpwstr/>
  </property>
  <property fmtid="{D5CDD505-2E9C-101B-9397-08002B2CF9AE}" pid="11" name="_AdHocReviewCycleID">
    <vt:i4>-855952357</vt:i4>
  </property>
  <property fmtid="{D5CDD505-2E9C-101B-9397-08002B2CF9AE}" pid="12" name="_NewReviewCycle">
    <vt:lpwstr/>
  </property>
  <property fmtid="{D5CDD505-2E9C-101B-9397-08002B2CF9AE}" pid="13" name="_EmailSubject">
    <vt:lpwstr>Dyson (1st May inception)</vt:lpwstr>
  </property>
  <property fmtid="{D5CDD505-2E9C-101B-9397-08002B2CF9AE}" pid="14" name="_AuthorEmail">
    <vt:lpwstr>joyce.lim@allianz.com</vt:lpwstr>
  </property>
  <property fmtid="{D5CDD505-2E9C-101B-9397-08002B2CF9AE}" pid="15" name="_AuthorEmailDisplayName">
    <vt:lpwstr>Lim, Joyce (Allianz Commercial)</vt:lpwstr>
  </property>
  <property fmtid="{D5CDD505-2E9C-101B-9397-08002B2CF9AE}" pid="16" name="_ReviewingToolsShownOnce">
    <vt:lpwstr/>
  </property>
</Properties>
</file>