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mium Bordereaux" sheetId="1" state="visible" r:id="rId3"/>
    <sheet name="Claims Bordereaux" sheetId="2" state="visible" r:id="rId4"/>
    <sheet name="SOV" sheetId="3" state="visible" r:id="rId5"/>
    <sheet name="Loss Triangle" sheetId="4" state="visible" r:id="rId6"/>
    <sheet name="Risk Register" sheetId="5" state="visible" r:id="rId7"/>
    <sheet name="Loss Ratio Summar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<sst xmlns="http://schemas.openxmlformats.org/spreadsheetml/2006/main" count="637" uniqueCount="349">
  <si>
    <t xml:space="preserve">PREMIUM BORDEREAU — Q4 2025</t>
  </si>
  <si>
    <t xml:space="preserve">Ceding Company: Zurich Insurance Group  |  Reinsurer: Swiss Re  |  Treaty: QS-2025-MSFT-001  |  Reporting Period: Oct–Dec 2025</t>
  </si>
  <si>
    <t xml:space="preserve">Risk ID</t>
  </si>
  <si>
    <t xml:space="preserve">Insured Name</t>
  </si>
  <si>
    <t xml:space="preserve">Policy Number</t>
  </si>
  <si>
    <t xml:space="preserve">Line of Business</t>
  </si>
  <si>
    <t xml:space="preserve">Inception Date</t>
  </si>
  <si>
    <t xml:space="preserve">Expiry Date</t>
  </si>
  <si>
    <t xml:space="preserve">Location</t>
  </si>
  <si>
    <t xml:space="preserve">Currency</t>
  </si>
  <si>
    <t xml:space="preserve">Sum Insured (000s)</t>
  </si>
  <si>
    <t xml:space="preserve">Gross Premium</t>
  </si>
  <si>
    <t xml:space="preserve">Cession %</t>
  </si>
  <si>
    <t xml:space="preserve">Ceded Premium</t>
  </si>
  <si>
    <t xml:space="preserve">Broker</t>
  </si>
  <si>
    <t xml:space="preserve">Status</t>
  </si>
  <si>
    <t xml:space="preserve">MSFT-PROP-2025001</t>
  </si>
  <si>
    <t xml:space="preserve">Microsoft Corporation</t>
  </si>
  <si>
    <t xml:space="preserve">ZIG-770487</t>
  </si>
  <si>
    <t xml:space="preserve">Property</t>
  </si>
  <si>
    <t xml:space="preserve">Redmond, WA, US</t>
  </si>
  <si>
    <t xml:space="preserve">USD</t>
  </si>
  <si>
    <t xml:space="preserve">Marsh</t>
  </si>
  <si>
    <t xml:space="preserve">Active</t>
  </si>
  <si>
    <t xml:space="preserve">MSFT-PROP-2025002</t>
  </si>
  <si>
    <t xml:space="preserve">ZIG-246316</t>
  </si>
  <si>
    <t xml:space="preserve">Dublin, Ireland</t>
  </si>
  <si>
    <t xml:space="preserve">Guy Carpenter</t>
  </si>
  <si>
    <t xml:space="preserve">MSFT-PROP-2025003</t>
  </si>
  <si>
    <t xml:space="preserve">ZIG-133326</t>
  </si>
  <si>
    <t xml:space="preserve">Hyderabad, India</t>
  </si>
  <si>
    <t xml:space="preserve">MSFT-DC-PROP-2025004</t>
  </si>
  <si>
    <t xml:space="preserve">ZIG-850800</t>
  </si>
  <si>
    <t xml:space="preserve">Data Center</t>
  </si>
  <si>
    <t xml:space="preserve">Quincy, WA, US</t>
  </si>
  <si>
    <t xml:space="preserve">Aon</t>
  </si>
  <si>
    <t xml:space="preserve">MSFT-DC-PROP-2025005</t>
  </si>
  <si>
    <t xml:space="preserve">ZIG-895667</t>
  </si>
  <si>
    <t xml:space="preserve">San Antonio, TX, US</t>
  </si>
  <si>
    <t xml:space="preserve">MSFT-DC-PROP-2025006</t>
  </si>
  <si>
    <t xml:space="preserve">ZIG-325772</t>
  </si>
  <si>
    <t xml:space="preserve">Boydton, VA, US</t>
  </si>
  <si>
    <t xml:space="preserve">Willis Towers Watson</t>
  </si>
  <si>
    <t xml:space="preserve">MSFT-DC-PROP-2025007</t>
  </si>
  <si>
    <t xml:space="preserve">ZIG-988662</t>
  </si>
  <si>
    <t xml:space="preserve">Des Moines, IA, US</t>
  </si>
  <si>
    <t xml:space="preserve">MSFT-PROP-2025008</t>
  </si>
  <si>
    <t xml:space="preserve">ZIG-662275</t>
  </si>
  <si>
    <t xml:space="preserve">Amsterdam, NL</t>
  </si>
  <si>
    <t xml:space="preserve">MSFT-PROP-2025009</t>
  </si>
  <si>
    <t xml:space="preserve">ZIG-705397</t>
  </si>
  <si>
    <t xml:space="preserve">Singapore</t>
  </si>
  <si>
    <t xml:space="preserve">MSFT-D&amp;O-2025010</t>
  </si>
  <si>
    <t xml:space="preserve">ZIG-183667</t>
  </si>
  <si>
    <t xml:space="preserve">D&amp;O</t>
  </si>
  <si>
    <t xml:space="preserve">London, UK</t>
  </si>
  <si>
    <t xml:space="preserve">MSFT-CYBER-2025011</t>
  </si>
  <si>
    <t xml:space="preserve">ZIG-766563</t>
  </si>
  <si>
    <t xml:space="preserve">Cyber</t>
  </si>
  <si>
    <t xml:space="preserve">Mountain View, CA, US</t>
  </si>
  <si>
    <t xml:space="preserve">MSFT-CYBER-2025012</t>
  </si>
  <si>
    <t xml:space="preserve">ZIG-835911</t>
  </si>
  <si>
    <t xml:space="preserve">MSFT-BI-2025013</t>
  </si>
  <si>
    <t xml:space="preserve">ZIG-584714</t>
  </si>
  <si>
    <t xml:space="preserve">Business Interruption</t>
  </si>
  <si>
    <t xml:space="preserve">Puget Sound, WA, US</t>
  </si>
  <si>
    <t xml:space="preserve">MSFT-DC-PROP-2025014</t>
  </si>
  <si>
    <t xml:space="preserve">ZIG-983794</t>
  </si>
  <si>
    <t xml:space="preserve">Phoenix, AZ, US</t>
  </si>
  <si>
    <t xml:space="preserve">MSFT-DC-PROP-2025015</t>
  </si>
  <si>
    <t xml:space="preserve">ZIG-380746</t>
  </si>
  <si>
    <t xml:space="preserve">Chicago, IL, US</t>
  </si>
  <si>
    <t xml:space="preserve">MSFT-PROP-2025016</t>
  </si>
  <si>
    <t xml:space="preserve">ZIG-787277</t>
  </si>
  <si>
    <t xml:space="preserve">Sydney, AU</t>
  </si>
  <si>
    <t xml:space="preserve">MSFT-PROP-2025017</t>
  </si>
  <si>
    <t xml:space="preserve">ZIG-377746</t>
  </si>
  <si>
    <t xml:space="preserve">Tokyo, JP</t>
  </si>
  <si>
    <t xml:space="preserve">MSFT-PROP-2025018</t>
  </si>
  <si>
    <t xml:space="preserve">ZIG-711878</t>
  </si>
  <si>
    <t xml:space="preserve">Beijing, CN</t>
  </si>
  <si>
    <t xml:space="preserve">MSFT-PROP-2025019</t>
  </si>
  <si>
    <t xml:space="preserve">ZIG-195325</t>
  </si>
  <si>
    <t xml:space="preserve">São Paulo, BR</t>
  </si>
  <si>
    <t xml:space="preserve">MSFT-CYBER-2025020</t>
  </si>
  <si>
    <t xml:space="preserve">ZIG-725380</t>
  </si>
  <si>
    <t xml:space="preserve">Tel Aviv, IL</t>
  </si>
  <si>
    <t xml:space="preserve">TOTALS</t>
  </si>
  <si>
    <t xml:space="preserve">CLAIMS BORDEREAU — Q4 2025</t>
  </si>
  <si>
    <t xml:space="preserve">Ceding Company: Zurich Insurance Group  |  Reinsurer: Swiss Re  |  Treaty: QS-2025-MSFT-001</t>
  </si>
  <si>
    <t xml:space="preserve">Claim ID</t>
  </si>
  <si>
    <t xml:space="preserve">Insured</t>
  </si>
  <si>
    <t xml:space="preserve">Claimant</t>
  </si>
  <si>
    <t xml:space="preserve">Policy No.</t>
  </si>
  <si>
    <t xml:space="preserve">Date of Loss</t>
  </si>
  <si>
    <t xml:space="preserve">Date Reported</t>
  </si>
  <si>
    <t xml:space="preserve">Cause of Loss</t>
  </si>
  <si>
    <t xml:space="preserve">Paid Loss</t>
  </si>
  <si>
    <t xml:space="preserve">Paid Expense</t>
  </si>
  <si>
    <t xml:space="preserve">Case Reserve</t>
  </si>
  <si>
    <t xml:space="preserve">Incurred Total</t>
  </si>
  <si>
    <t xml:space="preserve">CLM-2025-0041</t>
  </si>
  <si>
    <t xml:space="preserve">N/A</t>
  </si>
  <si>
    <t xml:space="preserve">ZIG-334521</t>
  </si>
  <si>
    <t xml:space="preserve">Cooling system failure — server damage</t>
  </si>
  <si>
    <t xml:space="preserve">Open</t>
  </si>
  <si>
    <t xml:space="preserve">CLM-2025-0042</t>
  </si>
  <si>
    <t xml:space="preserve">Various — class action</t>
  </si>
  <si>
    <t xml:space="preserve">ZIG-887234</t>
  </si>
  <si>
    <t xml:space="preserve">Data breach — customer PII exposure</t>
  </si>
  <si>
    <t xml:space="preserve">CLM-2025-0043</t>
  </si>
  <si>
    <t xml:space="preserve">ZIG-441298</t>
  </si>
  <si>
    <t xml:space="preserve">Storm damage — roof &amp; facade</t>
  </si>
  <si>
    <t xml:space="preserve">CLM-2025-0044</t>
  </si>
  <si>
    <t xml:space="preserve">ZIG-552176</t>
  </si>
  <si>
    <t xml:space="preserve">Electrical fire — UPS room</t>
  </si>
  <si>
    <t xml:space="preserve">CLM-2025-0045</t>
  </si>
  <si>
    <t xml:space="preserve">ZIG-663891</t>
  </si>
  <si>
    <t xml:space="preserve">BI consequential to CLM-2025-0041</t>
  </si>
  <si>
    <t xml:space="preserve">CLM-2025-0046</t>
  </si>
  <si>
    <t xml:space="preserve">ZIG-774512</t>
  </si>
  <si>
    <t xml:space="preserve">Water damage — burst pipe</t>
  </si>
  <si>
    <t xml:space="preserve">Closed</t>
  </si>
  <si>
    <t xml:space="preserve">CLM-2025-0047</t>
  </si>
  <si>
    <t xml:space="preserve">RegulatorFine Co.</t>
  </si>
  <si>
    <t xml:space="preserve">Regulatory fine — GDPR non-compliance</t>
  </si>
  <si>
    <t xml:space="preserve">CLM-2025-0048</t>
  </si>
  <si>
    <t xml:space="preserve">ZIG-885443</t>
  </si>
  <si>
    <t xml:space="preserve">Generator malfunction during outage</t>
  </si>
  <si>
    <t xml:space="preserve">STATEMENT OF VALUES (SOV) — Microsoft Corporation — Renewal 2026</t>
  </si>
  <si>
    <t xml:space="preserve">Prepared for: Zurich Insurance Group  |  Broker: Marsh  |  Valuation Date: 2025-12-31  |  All values in USD (000s)</t>
  </si>
  <si>
    <t xml:space="preserve">Loc #</t>
  </si>
  <si>
    <t xml:space="preserve">Location Name</t>
  </si>
  <si>
    <t xml:space="preserve">Address</t>
  </si>
  <si>
    <t xml:space="preserve">City</t>
  </si>
  <si>
    <t xml:space="preserve">State/Province</t>
  </si>
  <si>
    <t xml:space="preserve">Country</t>
  </si>
  <si>
    <t xml:space="preserve">ZIP/Postal</t>
  </si>
  <si>
    <t xml:space="preserve">Construction</t>
  </si>
  <si>
    <t xml:space="preserve">Stories</t>
  </si>
  <si>
    <t xml:space="preserve">Year Built</t>
  </si>
  <si>
    <t xml:space="preserve">Occupancy</t>
  </si>
  <si>
    <t xml:space="preserve">Sprinklered</t>
  </si>
  <si>
    <t xml:space="preserve">Building Value</t>
  </si>
  <si>
    <t xml:space="preserve">Contents Value</t>
  </si>
  <si>
    <t xml:space="preserve">BI Value</t>
  </si>
  <si>
    <t xml:space="preserve">TIV</t>
  </si>
  <si>
    <t xml:space="preserve">CAT Zone (EQ)</t>
  </si>
  <si>
    <t xml:space="preserve">CAT Zone (Wind)</t>
  </si>
  <si>
    <t xml:space="preserve">Microsoft Campus — Building 92</t>
  </si>
  <si>
    <t xml:space="preserve">One Microsoft Way</t>
  </si>
  <si>
    <t xml:space="preserve">Redmond</t>
  </si>
  <si>
    <t xml:space="preserve">WA</t>
  </si>
  <si>
    <t xml:space="preserve">US</t>
  </si>
  <si>
    <t xml:space="preserve">98052</t>
  </si>
  <si>
    <t xml:space="preserve">Fire Resistive</t>
  </si>
  <si>
    <t xml:space="preserve">Office/HQ</t>
  </si>
  <si>
    <t xml:space="preserve">Yes</t>
  </si>
  <si>
    <t xml:space="preserve">Zone 3</t>
  </si>
  <si>
    <t xml:space="preserve">Zone 1</t>
  </si>
  <si>
    <t xml:space="preserve">Microsoft Campus — Building 34</t>
  </si>
  <si>
    <t xml:space="preserve">156th Ave NE</t>
  </si>
  <si>
    <t xml:space="preserve">Office/R&amp;D</t>
  </si>
  <si>
    <t xml:space="preserve">Microsoft Campus — Building 50</t>
  </si>
  <si>
    <t xml:space="preserve">15255 NE 40th St</t>
  </si>
  <si>
    <t xml:space="preserve">Office/Mixed</t>
  </si>
  <si>
    <t xml:space="preserve">Quincy Data Center</t>
  </si>
  <si>
    <t xml:space="preserve">1234 Grant Rd</t>
  </si>
  <si>
    <t xml:space="preserve">Quincy</t>
  </si>
  <si>
    <t xml:space="preserve">98848</t>
  </si>
  <si>
    <t xml:space="preserve">Non-Combustible</t>
  </si>
  <si>
    <t xml:space="preserve">Zone 2</t>
  </si>
  <si>
    <t xml:space="preserve">San Antonio Data Center</t>
  </si>
  <si>
    <t xml:space="preserve">5678 Westover Hills</t>
  </si>
  <si>
    <t xml:space="preserve">San Antonio</t>
  </si>
  <si>
    <t xml:space="preserve">TX</t>
  </si>
  <si>
    <t xml:space="preserve">78251</t>
  </si>
  <si>
    <t xml:space="preserve">Boydton Data Center</t>
  </si>
  <si>
    <t xml:space="preserve">9012 US-58</t>
  </si>
  <si>
    <t xml:space="preserve">Boydton</t>
  </si>
  <si>
    <t xml:space="preserve">VA</t>
  </si>
  <si>
    <t xml:space="preserve">23917</t>
  </si>
  <si>
    <t xml:space="preserve">Des Moines Data Center</t>
  </si>
  <si>
    <t xml:space="preserve">3456 NW Urbandale Dr</t>
  </si>
  <si>
    <t xml:space="preserve">West Des Moines</t>
  </si>
  <si>
    <t xml:space="preserve">IA</t>
  </si>
  <si>
    <t xml:space="preserve">50266</t>
  </si>
  <si>
    <t xml:space="preserve">Phoenix Data Center</t>
  </si>
  <si>
    <t xml:space="preserve">7890 S Price Rd</t>
  </si>
  <si>
    <t xml:space="preserve">Chandler</t>
  </si>
  <si>
    <t xml:space="preserve">AZ</t>
  </si>
  <si>
    <t xml:space="preserve">85286</t>
  </si>
  <si>
    <t xml:space="preserve">Chicago Data Center</t>
  </si>
  <si>
    <t xml:space="preserve">2345 Elk Grove Blvd</t>
  </si>
  <si>
    <t xml:space="preserve">Elk Grove Village</t>
  </si>
  <si>
    <t xml:space="preserve">IL</t>
  </si>
  <si>
    <t xml:space="preserve">60007</t>
  </si>
  <si>
    <t xml:space="preserve">Dublin Campus</t>
  </si>
  <si>
    <t xml:space="preserve">South County Business Park</t>
  </si>
  <si>
    <t xml:space="preserve">Leopardstown</t>
  </si>
  <si>
    <t xml:space="preserve">Dublin</t>
  </si>
  <si>
    <t xml:space="preserve">IE</t>
  </si>
  <si>
    <t xml:space="preserve">D18</t>
  </si>
  <si>
    <t xml:space="preserve">Masonry Non-Comb</t>
  </si>
  <si>
    <t xml:space="preserve">Office/EMEA HQ</t>
  </si>
  <si>
    <t xml:space="preserve">London Office</t>
  </si>
  <si>
    <t xml:space="preserve">2 Kingdom St</t>
  </si>
  <si>
    <t xml:space="preserve">London</t>
  </si>
  <si>
    <t xml:space="preserve">England</t>
  </si>
  <si>
    <t xml:space="preserve">GB</t>
  </si>
  <si>
    <t xml:space="preserve">W2 6BD</t>
  </si>
  <si>
    <t xml:space="preserve">Office</t>
  </si>
  <si>
    <t xml:space="preserve">Hyderabad Campus</t>
  </si>
  <si>
    <t xml:space="preserve">Raheja Mindspace IT Park</t>
  </si>
  <si>
    <t xml:space="preserve">Hyderabad</t>
  </si>
  <si>
    <t xml:space="preserve">Telangana</t>
  </si>
  <si>
    <t xml:space="preserve">IN</t>
  </si>
  <si>
    <t xml:space="preserve">500081</t>
  </si>
  <si>
    <t xml:space="preserve">Singapore Office</t>
  </si>
  <si>
    <t xml:space="preserve">One Marina Blvd</t>
  </si>
  <si>
    <t xml:space="preserve">SG</t>
  </si>
  <si>
    <t xml:space="preserve">018989</t>
  </si>
  <si>
    <t xml:space="preserve">Tokyo Office</t>
  </si>
  <si>
    <t xml:space="preserve">Shinagawa Grand Central Tower</t>
  </si>
  <si>
    <t xml:space="preserve">Tokyo</t>
  </si>
  <si>
    <t xml:space="preserve">JP</t>
  </si>
  <si>
    <t xml:space="preserve">108-0075</t>
  </si>
  <si>
    <t xml:space="preserve">Zone 4</t>
  </si>
  <si>
    <t xml:space="preserve">Sydney Office</t>
  </si>
  <si>
    <t xml:space="preserve">1 Macquarie Place</t>
  </si>
  <si>
    <t xml:space="preserve">Sydney</t>
  </si>
  <si>
    <t xml:space="preserve">NSW</t>
  </si>
  <si>
    <t xml:space="preserve">AU</t>
  </si>
  <si>
    <t xml:space="preserve">2000</t>
  </si>
  <si>
    <t xml:space="preserve">São Paulo Office</t>
  </si>
  <si>
    <t xml:space="preserve">Av. Nações Unidas 12901</t>
  </si>
  <si>
    <t xml:space="preserve">São Paulo</t>
  </si>
  <si>
    <t xml:space="preserve">SP</t>
  </si>
  <si>
    <t xml:space="preserve">BR</t>
  </si>
  <si>
    <t xml:space="preserve">04578-000</t>
  </si>
  <si>
    <t xml:space="preserve">Amsterdam Data Center</t>
  </si>
  <si>
    <t xml:space="preserve">Schiphol-Rijk</t>
  </si>
  <si>
    <t xml:space="preserve">Amsterdam</t>
  </si>
  <si>
    <t xml:space="preserve">North Holland</t>
  </si>
  <si>
    <t xml:space="preserve">NL</t>
  </si>
  <si>
    <t xml:space="preserve">1117</t>
  </si>
  <si>
    <t xml:space="preserve">Tel Aviv Office</t>
  </si>
  <si>
    <t xml:space="preserve">HaShalom Rd 13</t>
  </si>
  <si>
    <t xml:space="preserve">Tel Aviv</t>
  </si>
  <si>
    <t xml:space="preserve">6672301</t>
  </si>
  <si>
    <t xml:space="preserve">INCURRED LOSS DEVELOPMENT TRIANGLE — Microsoft Corporation — All Lines Combined</t>
  </si>
  <si>
    <t xml:space="preserve">Values in USD (000s)  |  As of December 31, 2025  |  Treaty: QS-2025-MSFT-001</t>
  </si>
  <si>
    <t xml:space="preserve">Accident Year</t>
  </si>
  <si>
    <t xml:space="preserve">Dev 1</t>
  </si>
  <si>
    <t xml:space="preserve">Dev 2</t>
  </si>
  <si>
    <t xml:space="preserve">Dev 3</t>
  </si>
  <si>
    <t xml:space="preserve">Dev 4</t>
  </si>
  <si>
    <t xml:space="preserve">Dev 5</t>
  </si>
  <si>
    <t xml:space="preserve">Dev 6</t>
  </si>
  <si>
    <t xml:space="preserve">Dev 7</t>
  </si>
  <si>
    <t xml:space="preserve">Dev 8</t>
  </si>
  <si>
    <t xml:space="preserve">Dev 9</t>
  </si>
  <si>
    <t xml:space="preserve">Dev 10</t>
  </si>
  <si>
    <t xml:space="preserve">LDF (Link Ratios)</t>
  </si>
  <si>
    <t xml:space="preserve">Legend:</t>
  </si>
  <si>
    <t xml:space="preserve">Actual (reported)</t>
  </si>
  <si>
    <t xml:space="preserve">Not yet available</t>
  </si>
  <si>
    <t xml:space="preserve">ENTERPRISE RISK REGISTER — Microsoft Corporation Insurance Programme</t>
  </si>
  <si>
    <t xml:space="preserve">Last updated: 2025-12-15  |  Review cycle: Quarterly  |  Owner: Corporate Risk Management</t>
  </si>
  <si>
    <t xml:space="preserve">Risk Description</t>
  </si>
  <si>
    <t xml:space="preserve">Category</t>
  </si>
  <si>
    <t xml:space="preserve">Likelihood (1–5)</t>
  </si>
  <si>
    <t xml:space="preserve">Severity (1–5)</t>
  </si>
  <si>
    <t xml:space="preserve">Risk Score</t>
  </si>
  <si>
    <t xml:space="preserve">Mitigation Strategy</t>
  </si>
  <si>
    <t xml:space="preserve">Risk Owner</t>
  </si>
  <si>
    <t xml:space="preserve">Date Identified</t>
  </si>
  <si>
    <t xml:space="preserve">Next Review</t>
  </si>
  <si>
    <t xml:space="preserve">Notes</t>
  </si>
  <si>
    <t xml:space="preserve">RR-001</t>
  </si>
  <si>
    <t xml:space="preserve">Major cyber attack / ransomware affecting Azure infrastructure</t>
  </si>
  <si>
    <t xml:space="preserve">Cyber / Technology</t>
  </si>
  <si>
    <t xml:space="preserve">Multi-layered cyber insurance tower; $500M limit. IR retainer with CrowdStrike. Annual pen testing.</t>
  </si>
  <si>
    <t xml:space="preserve">CISO Office</t>
  </si>
  <si>
    <t xml:space="preserve">Frequency increasing; reviewed annually with underwriters</t>
  </si>
  <si>
    <t xml:space="preserve">RR-002</t>
  </si>
  <si>
    <t xml:space="preserve">Natural catastrophe damage to data center cluster (earthquake/hurricane)</t>
  </si>
  <si>
    <t xml:space="preserve">Property / CAT</t>
  </si>
  <si>
    <t xml:space="preserve">Geographic diversification of DC locations. CAT XL reinsurance programme. Business continuity plans tested quarterly.</t>
  </si>
  <si>
    <t xml:space="preserve">VP Infrastructure</t>
  </si>
  <si>
    <t xml:space="preserve">Phoenix &amp; San Antonio in wind zones</t>
  </si>
  <si>
    <t xml:space="preserve">RR-003</t>
  </si>
  <si>
    <t xml:space="preserve">Regulatory fine — GDPR / data privacy violation</t>
  </si>
  <si>
    <t xml:space="preserve">Regulatory / Legal</t>
  </si>
  <si>
    <t xml:space="preserve">D&amp;O and cyber policies cover regulatory fines where insurable. Privacy compliance programme. DPO in each region.</t>
  </si>
  <si>
    <t xml:space="preserve">Chief Privacy Officer</t>
  </si>
  <si>
    <t xml:space="preserve">€4B potential max GDPR fine</t>
  </si>
  <si>
    <t xml:space="preserve">RR-004</t>
  </si>
  <si>
    <t xml:space="preserve">Business interruption from cloud service outage &gt; 72 hours</t>
  </si>
  <si>
    <t xml:space="preserve">Operational / BI</t>
  </si>
  <si>
    <t xml:space="preserve">BI coverage with 24hr waiting period. Redundant systems. SLA-backed BI sub-limits per region.</t>
  </si>
  <si>
    <t xml:space="preserve">VP Cloud Operations</t>
  </si>
  <si>
    <t xml:space="preserve">Largest BI exposure in Quincy &amp; Phoenix DCs</t>
  </si>
  <si>
    <t xml:space="preserve">RR-005</t>
  </si>
  <si>
    <t xml:space="preserve">D&amp;O claim — shareholder class action (AI liability)</t>
  </si>
  <si>
    <t xml:space="preserve">Directors &amp; Officers</t>
  </si>
  <si>
    <t xml:space="preserve">$200M D&amp;O tower. Side A DIC coverage. Pre-agreed defense counsel panel.</t>
  </si>
  <si>
    <t xml:space="preserve">General Counsel</t>
  </si>
  <si>
    <t xml:space="preserve">AI regulation evolving rapidly</t>
  </si>
  <si>
    <t xml:space="preserve">RR-006</t>
  </si>
  <si>
    <t xml:space="preserve">Supply chain disruption — semiconductor shortage impacting hardware</t>
  </si>
  <si>
    <t xml:space="preserve">Supply Chain</t>
  </si>
  <si>
    <t xml:space="preserve">Contingent BI coverage. Multi-source supply agreements. Strategic inventory buffer.</t>
  </si>
  <si>
    <t xml:space="preserve">VP Supply Chain</t>
  </si>
  <si>
    <t xml:space="preserve">Improved since 2022 peak</t>
  </si>
  <si>
    <t xml:space="preserve">RR-007</t>
  </si>
  <si>
    <t xml:space="preserve">Intellectual property infringement claim (patent troll litigation)</t>
  </si>
  <si>
    <t xml:space="preserve">Legal / IP</t>
  </si>
  <si>
    <t xml:space="preserve">IP insurance programme. Dedicated patent litigation team. Defensive patent portfolio.</t>
  </si>
  <si>
    <t xml:space="preserve">VP Legal — IP</t>
  </si>
  <si>
    <t xml:space="preserve">High frequency, moderate severity</t>
  </si>
  <si>
    <t xml:space="preserve">RR-008</t>
  </si>
  <si>
    <t xml:space="preserve">Political risk / sanctions — operations in restricted jurisdictions</t>
  </si>
  <si>
    <t xml:space="preserve">Political / Geopolitical</t>
  </si>
  <si>
    <t xml:space="preserve">Political risk insurance for key markets. Sanctions compliance monitoring. Scenario planning.</t>
  </si>
  <si>
    <t xml:space="preserve">VP Government Affairs</t>
  </si>
  <si>
    <t xml:space="preserve">China &amp; Russia exposure under review</t>
  </si>
  <si>
    <t xml:space="preserve">RR-009</t>
  </si>
  <si>
    <t xml:space="preserve">Workplace safety incident at manufacturing/logistics facility</t>
  </si>
  <si>
    <t xml:space="preserve">Workers Comp / Liability</t>
  </si>
  <si>
    <t xml:space="preserve">Workers comp programme. Safety training. Ergonomic assessments. EHS audits.</t>
  </si>
  <si>
    <t xml:space="preserve">VP HR &amp; Safety</t>
  </si>
  <si>
    <t xml:space="preserve">Low incident rate historically</t>
  </si>
  <si>
    <t xml:space="preserve">RR-010</t>
  </si>
  <si>
    <t xml:space="preserve">Reputational damage from AI product failure / bias incident</t>
  </si>
  <si>
    <t xml:space="preserve">Reputational</t>
  </si>
  <si>
    <t xml:space="preserve">Crisis communications plan. Responsible AI framework. Product liability coverage.</t>
  </si>
  <si>
    <t xml:space="preserve">Chief Communications Officer</t>
  </si>
  <si>
    <t xml:space="preserve">Emerging risk — new in 2024</t>
  </si>
  <si>
    <t xml:space="preserve">LOSS RATIO SUMMARY — Microsoft Corporation — Treaty QS-2025-MSFT-001</t>
  </si>
  <si>
    <t xml:space="preserve">Historical performance by Line of Business  |  Underwriting Years 2020–2025  |  USD (000s)</t>
  </si>
  <si>
    <t xml:space="preserve">UW Year</t>
  </si>
  <si>
    <t xml:space="preserve">Earned Premium</t>
  </si>
  <si>
    <t xml:space="preserve">Incurred Losses</t>
  </si>
  <si>
    <t xml:space="preserve">Loss Ratio</t>
  </si>
  <si>
    <t xml:space="preserve">Expense Ratio</t>
  </si>
  <si>
    <t xml:space="preserve">Combined Ratio</t>
  </si>
  <si>
    <t xml:space="preserve">Profit / (Loss)</t>
  </si>
  <si>
    <t xml:space="preserve">ALL LINES TOTAL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</si>
</sst>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yyyy\-mm\-dd"/>
    <numFmt numFmtId="166" formatCode="#,##0"/>
    <numFmt numFmtId="167" formatCode="0.0%"/>
    <numFmt numFmtId="168" formatCode="0"/>
    <numFmt numFmtId="169" formatCode="0.000"/>
    <numFmt numFmtId="170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i val="true"/>
      <sz val="9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2EFDA"/>
        <bgColor rgb="FFFFFFCC"/>
      </patternFill>
    </fill>
    <fill>
      <patternFill patternType="solid">
        <fgColor rgb="FFFFC7CE"/>
        <bgColor rgb="FFFCD5B4"/>
      </patternFill>
    </fill>
    <fill>
      <patternFill patternType="solid">
        <fgColor rgb="FFFCD5B4"/>
        <bgColor rgb="FFFFC7CE"/>
      </patternFill>
    </fill>
    <fill>
      <patternFill patternType="solid">
        <fgColor rgb="FFFFEB9C"/>
        <bgColor rgb="FFFCD5B4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 diagonalUp="false" diagonalDown="false">
      <left/>
      <right/>
      <top style="double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0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B9C"/>
      <rgbColor rgb="FF99CCFF"/>
      <rgbColor rgb="FFFF99CC"/>
      <rgbColor rgb="FFCC99FF"/>
      <rgbColor rgb="FFFCD5B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6" min="3" style="0" width="16"/>
    <col collapsed="false" customWidth="true" hidden="false" outlineLevel="0" max="7" min="7" style="0" width="24"/>
    <col collapsed="false" customWidth="true" hidden="false" outlineLevel="0" max="14" min="8" style="0" width="16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customFormat="false" ht="15" hidden="false" customHeight="false" outlineLevel="0" collapsed="false">
      <c r="A5" s="4" t="s">
        <v>16</v>
      </c>
      <c r="B5" s="4" t="s">
        <v>17</v>
      </c>
      <c r="C5" s="4" t="s">
        <v>18</v>
      </c>
      <c r="D5" s="4" t="s">
        <v>19</v>
      </c>
      <c r="E5" s="5" t="n">
        <v>45658</v>
      </c>
      <c r="F5" s="5" t="n">
        <v>46022</v>
      </c>
      <c r="G5" s="4" t="s">
        <v>20</v>
      </c>
      <c r="H5" s="4" t="s">
        <v>21</v>
      </c>
      <c r="I5" s="6" t="n">
        <v>50000</v>
      </c>
      <c r="J5" s="6" t="n">
        <v>322</v>
      </c>
      <c r="K5" s="7" t="n">
        <v>0.3</v>
      </c>
      <c r="L5" s="6" t="n">
        <f aca="false">J5*K5</f>
        <v>96.6</v>
      </c>
      <c r="M5" s="4" t="s">
        <v>22</v>
      </c>
      <c r="N5" s="4" t="s">
        <v>23</v>
      </c>
    </row>
    <row r="6" customFormat="false" ht="15" hidden="false" customHeight="false" outlineLevel="0" collapsed="false">
      <c r="A6" s="4" t="s">
        <v>24</v>
      </c>
      <c r="B6" s="4" t="s">
        <v>17</v>
      </c>
      <c r="C6" s="4" t="s">
        <v>25</v>
      </c>
      <c r="D6" s="4" t="s">
        <v>19</v>
      </c>
      <c r="E6" s="5" t="n">
        <v>45658</v>
      </c>
      <c r="F6" s="5" t="n">
        <v>46022</v>
      </c>
      <c r="G6" s="4" t="s">
        <v>26</v>
      </c>
      <c r="H6" s="4" t="s">
        <v>21</v>
      </c>
      <c r="I6" s="6" t="n">
        <v>1000000</v>
      </c>
      <c r="J6" s="6" t="n">
        <v>6444</v>
      </c>
      <c r="K6" s="7" t="n">
        <v>0.25</v>
      </c>
      <c r="L6" s="6" t="n">
        <f aca="false">J6*K6</f>
        <v>1611</v>
      </c>
      <c r="M6" s="4" t="s">
        <v>27</v>
      </c>
      <c r="N6" s="4" t="s">
        <v>23</v>
      </c>
    </row>
    <row r="7" customFormat="false" ht="15" hidden="false" customHeight="false" outlineLevel="0" collapsed="false">
      <c r="A7" s="4" t="s">
        <v>28</v>
      </c>
      <c r="B7" s="4" t="s">
        <v>17</v>
      </c>
      <c r="C7" s="4" t="s">
        <v>29</v>
      </c>
      <c r="D7" s="4" t="s">
        <v>19</v>
      </c>
      <c r="E7" s="5" t="n">
        <v>45658</v>
      </c>
      <c r="F7" s="5" t="n">
        <v>46022</v>
      </c>
      <c r="G7" s="4" t="s">
        <v>30</v>
      </c>
      <c r="H7" s="4" t="s">
        <v>21</v>
      </c>
      <c r="I7" s="6" t="n">
        <v>50000</v>
      </c>
      <c r="J7" s="6" t="n">
        <v>165</v>
      </c>
      <c r="K7" s="7" t="n">
        <v>0.25</v>
      </c>
      <c r="L7" s="6" t="n">
        <f aca="false">J7*K7</f>
        <v>41.25</v>
      </c>
      <c r="M7" s="4" t="s">
        <v>22</v>
      </c>
      <c r="N7" s="4" t="s">
        <v>23</v>
      </c>
    </row>
    <row r="8" customFormat="false" ht="15" hidden="false" customHeight="false" outlineLevel="0" collapsed="false">
      <c r="A8" s="4" t="s">
        <v>31</v>
      </c>
      <c r="B8" s="4" t="s">
        <v>17</v>
      </c>
      <c r="C8" s="4" t="s">
        <v>32</v>
      </c>
      <c r="D8" s="4" t="s">
        <v>33</v>
      </c>
      <c r="E8" s="5" t="n">
        <v>45931</v>
      </c>
      <c r="F8" s="5" t="n">
        <v>46295</v>
      </c>
      <c r="G8" s="4" t="s">
        <v>34</v>
      </c>
      <c r="H8" s="4" t="s">
        <v>21</v>
      </c>
      <c r="I8" s="6" t="n">
        <v>100000</v>
      </c>
      <c r="J8" s="6" t="n">
        <v>469</v>
      </c>
      <c r="K8" s="7" t="n">
        <v>0.4</v>
      </c>
      <c r="L8" s="6" t="n">
        <f aca="false">J8*K8</f>
        <v>187.6</v>
      </c>
      <c r="M8" s="4" t="s">
        <v>35</v>
      </c>
      <c r="N8" s="4" t="s">
        <v>23</v>
      </c>
    </row>
    <row r="9" customFormat="false" ht="15" hidden="false" customHeight="false" outlineLevel="0" collapsed="false">
      <c r="A9" s="4" t="s">
        <v>36</v>
      </c>
      <c r="B9" s="4" t="s">
        <v>17</v>
      </c>
      <c r="C9" s="4" t="s">
        <v>37</v>
      </c>
      <c r="D9" s="4" t="s">
        <v>33</v>
      </c>
      <c r="E9" s="5" t="n">
        <v>45748</v>
      </c>
      <c r="F9" s="5" t="n">
        <v>46112</v>
      </c>
      <c r="G9" s="4" t="s">
        <v>38</v>
      </c>
      <c r="H9" s="4" t="s">
        <v>21</v>
      </c>
      <c r="I9" s="6" t="n">
        <v>1000000</v>
      </c>
      <c r="J9" s="6" t="n">
        <v>4535</v>
      </c>
      <c r="K9" s="7" t="n">
        <v>0.4</v>
      </c>
      <c r="L9" s="6" t="n">
        <f aca="false">J9*K9</f>
        <v>1814</v>
      </c>
      <c r="M9" s="4" t="s">
        <v>22</v>
      </c>
      <c r="N9" s="4" t="s">
        <v>23</v>
      </c>
    </row>
    <row r="10" customFormat="false" ht="15" hidden="false" customHeight="false" outlineLevel="0" collapsed="false">
      <c r="A10" s="4" t="s">
        <v>39</v>
      </c>
      <c r="B10" s="4" t="s">
        <v>17</v>
      </c>
      <c r="C10" s="4" t="s">
        <v>40</v>
      </c>
      <c r="D10" s="4" t="s">
        <v>33</v>
      </c>
      <c r="E10" s="5" t="n">
        <v>45839</v>
      </c>
      <c r="F10" s="5" t="n">
        <v>46203</v>
      </c>
      <c r="G10" s="4" t="s">
        <v>41</v>
      </c>
      <c r="H10" s="4" t="s">
        <v>21</v>
      </c>
      <c r="I10" s="6" t="n">
        <v>50000</v>
      </c>
      <c r="J10" s="6" t="n">
        <v>127</v>
      </c>
      <c r="K10" s="7" t="n">
        <v>0.25</v>
      </c>
      <c r="L10" s="6" t="n">
        <f aca="false">J10*K10</f>
        <v>31.75</v>
      </c>
      <c r="M10" s="4" t="s">
        <v>42</v>
      </c>
      <c r="N10" s="4" t="s">
        <v>23</v>
      </c>
    </row>
    <row r="11" customFormat="false" ht="15" hidden="false" customHeight="false" outlineLevel="0" collapsed="false">
      <c r="A11" s="4" t="s">
        <v>43</v>
      </c>
      <c r="B11" s="4" t="s">
        <v>17</v>
      </c>
      <c r="C11" s="4" t="s">
        <v>44</v>
      </c>
      <c r="D11" s="4" t="s">
        <v>33</v>
      </c>
      <c r="E11" s="5" t="n">
        <v>45839</v>
      </c>
      <c r="F11" s="5" t="n">
        <v>46203</v>
      </c>
      <c r="G11" s="4" t="s">
        <v>45</v>
      </c>
      <c r="H11" s="4" t="s">
        <v>21</v>
      </c>
      <c r="I11" s="6" t="n">
        <v>750000</v>
      </c>
      <c r="J11" s="6" t="n">
        <v>2690</v>
      </c>
      <c r="K11" s="7" t="n">
        <v>0.25</v>
      </c>
      <c r="L11" s="6" t="n">
        <f aca="false">J11*K11</f>
        <v>672.5</v>
      </c>
      <c r="M11" s="4" t="s">
        <v>27</v>
      </c>
      <c r="N11" s="4" t="s">
        <v>23</v>
      </c>
    </row>
    <row r="12" customFormat="false" ht="15" hidden="false" customHeight="false" outlineLevel="0" collapsed="false">
      <c r="A12" s="4" t="s">
        <v>46</v>
      </c>
      <c r="B12" s="4" t="s">
        <v>17</v>
      </c>
      <c r="C12" s="4" t="s">
        <v>47</v>
      </c>
      <c r="D12" s="4" t="s">
        <v>19</v>
      </c>
      <c r="E12" s="5" t="n">
        <v>45658</v>
      </c>
      <c r="F12" s="5" t="n">
        <v>46022</v>
      </c>
      <c r="G12" s="4" t="s">
        <v>48</v>
      </c>
      <c r="H12" s="4" t="s">
        <v>21</v>
      </c>
      <c r="I12" s="6" t="n">
        <v>500000</v>
      </c>
      <c r="J12" s="6" t="n">
        <v>1236</v>
      </c>
      <c r="K12" s="7" t="n">
        <v>0.4</v>
      </c>
      <c r="L12" s="6" t="n">
        <f aca="false">J12*K12</f>
        <v>494.4</v>
      </c>
      <c r="M12" s="4" t="s">
        <v>42</v>
      </c>
      <c r="N12" s="4" t="s">
        <v>23</v>
      </c>
    </row>
    <row r="13" customFormat="false" ht="15" hidden="false" customHeight="false" outlineLevel="0" collapsed="false">
      <c r="A13" s="4" t="s">
        <v>49</v>
      </c>
      <c r="B13" s="4" t="s">
        <v>17</v>
      </c>
      <c r="C13" s="4" t="s">
        <v>50</v>
      </c>
      <c r="D13" s="4" t="s">
        <v>19</v>
      </c>
      <c r="E13" s="5" t="n">
        <v>45748</v>
      </c>
      <c r="F13" s="5" t="n">
        <v>46112</v>
      </c>
      <c r="G13" s="4" t="s">
        <v>51</v>
      </c>
      <c r="H13" s="4" t="s">
        <v>21</v>
      </c>
      <c r="I13" s="6" t="n">
        <v>1000000</v>
      </c>
      <c r="J13" s="6" t="n">
        <v>2417</v>
      </c>
      <c r="K13" s="7" t="n">
        <v>0.3</v>
      </c>
      <c r="L13" s="6" t="n">
        <f aca="false">J13*K13</f>
        <v>725.1</v>
      </c>
      <c r="M13" s="4" t="s">
        <v>42</v>
      </c>
      <c r="N13" s="4" t="s">
        <v>23</v>
      </c>
    </row>
    <row r="14" customFormat="false" ht="15" hidden="false" customHeight="false" outlineLevel="0" collapsed="false">
      <c r="A14" s="4" t="s">
        <v>52</v>
      </c>
      <c r="B14" s="4" t="s">
        <v>17</v>
      </c>
      <c r="C14" s="4" t="s">
        <v>53</v>
      </c>
      <c r="D14" s="4" t="s">
        <v>54</v>
      </c>
      <c r="E14" s="5" t="n">
        <v>45748</v>
      </c>
      <c r="F14" s="5" t="n">
        <v>46112</v>
      </c>
      <c r="G14" s="4" t="s">
        <v>55</v>
      </c>
      <c r="H14" s="4" t="s">
        <v>21</v>
      </c>
      <c r="I14" s="6" t="n">
        <v>2000000</v>
      </c>
      <c r="J14" s="6" t="n">
        <v>5212</v>
      </c>
      <c r="K14" s="7" t="n">
        <v>0.4</v>
      </c>
      <c r="L14" s="6" t="n">
        <f aca="false">J14*K14</f>
        <v>2084.8</v>
      </c>
      <c r="M14" s="4" t="s">
        <v>27</v>
      </c>
      <c r="N14" s="4" t="s">
        <v>23</v>
      </c>
    </row>
    <row r="15" customFormat="false" ht="15" hidden="false" customHeight="false" outlineLevel="0" collapsed="false">
      <c r="A15" s="4" t="s">
        <v>56</v>
      </c>
      <c r="B15" s="4" t="s">
        <v>17</v>
      </c>
      <c r="C15" s="4" t="s">
        <v>57</v>
      </c>
      <c r="D15" s="4" t="s">
        <v>58</v>
      </c>
      <c r="E15" s="5" t="n">
        <v>45839</v>
      </c>
      <c r="F15" s="5" t="n">
        <v>46203</v>
      </c>
      <c r="G15" s="4" t="s">
        <v>59</v>
      </c>
      <c r="H15" s="4" t="s">
        <v>21</v>
      </c>
      <c r="I15" s="6" t="n">
        <v>100000</v>
      </c>
      <c r="J15" s="6" t="n">
        <v>422</v>
      </c>
      <c r="K15" s="7" t="n">
        <v>0.3</v>
      </c>
      <c r="L15" s="6" t="n">
        <f aca="false">J15*K15</f>
        <v>126.6</v>
      </c>
      <c r="M15" s="4" t="s">
        <v>42</v>
      </c>
      <c r="N15" s="4" t="s">
        <v>23</v>
      </c>
    </row>
    <row r="16" customFormat="false" ht="15" hidden="false" customHeight="false" outlineLevel="0" collapsed="false">
      <c r="A16" s="4" t="s">
        <v>60</v>
      </c>
      <c r="B16" s="4" t="s">
        <v>17</v>
      </c>
      <c r="C16" s="4" t="s">
        <v>61</v>
      </c>
      <c r="D16" s="4" t="s">
        <v>58</v>
      </c>
      <c r="E16" s="5" t="n">
        <v>45658</v>
      </c>
      <c r="F16" s="5" t="n">
        <v>46022</v>
      </c>
      <c r="G16" s="4" t="s">
        <v>20</v>
      </c>
      <c r="H16" s="4" t="s">
        <v>21</v>
      </c>
      <c r="I16" s="6" t="n">
        <v>750000</v>
      </c>
      <c r="J16" s="6" t="n">
        <v>4357</v>
      </c>
      <c r="K16" s="7" t="n">
        <v>0.3</v>
      </c>
      <c r="L16" s="6" t="n">
        <f aca="false">J16*K16</f>
        <v>1307.1</v>
      </c>
      <c r="M16" s="4" t="s">
        <v>22</v>
      </c>
      <c r="N16" s="4" t="s">
        <v>23</v>
      </c>
    </row>
    <row r="17" customFormat="false" ht="15" hidden="false" customHeight="false" outlineLevel="0" collapsed="false">
      <c r="A17" s="4" t="s">
        <v>62</v>
      </c>
      <c r="B17" s="4" t="s">
        <v>17</v>
      </c>
      <c r="C17" s="4" t="s">
        <v>63</v>
      </c>
      <c r="D17" s="4" t="s">
        <v>64</v>
      </c>
      <c r="E17" s="5" t="n">
        <v>45931</v>
      </c>
      <c r="F17" s="5" t="n">
        <v>46295</v>
      </c>
      <c r="G17" s="4" t="s">
        <v>65</v>
      </c>
      <c r="H17" s="4" t="s">
        <v>21</v>
      </c>
      <c r="I17" s="6" t="n">
        <v>250000</v>
      </c>
      <c r="J17" s="6" t="n">
        <v>1984</v>
      </c>
      <c r="K17" s="7" t="n">
        <v>0.3</v>
      </c>
      <c r="L17" s="6" t="n">
        <f aca="false">J17*K17</f>
        <v>595.2</v>
      </c>
      <c r="M17" s="4" t="s">
        <v>42</v>
      </c>
      <c r="N17" s="4" t="s">
        <v>23</v>
      </c>
    </row>
    <row r="18" customFormat="false" ht="15" hidden="false" customHeight="false" outlineLevel="0" collapsed="false">
      <c r="A18" s="4" t="s">
        <v>66</v>
      </c>
      <c r="B18" s="4" t="s">
        <v>17</v>
      </c>
      <c r="C18" s="4" t="s">
        <v>67</v>
      </c>
      <c r="D18" s="4" t="s">
        <v>33</v>
      </c>
      <c r="E18" s="5" t="n">
        <v>45658</v>
      </c>
      <c r="F18" s="5" t="n">
        <v>46022</v>
      </c>
      <c r="G18" s="4" t="s">
        <v>68</v>
      </c>
      <c r="H18" s="4" t="s">
        <v>21</v>
      </c>
      <c r="I18" s="6" t="n">
        <v>100000</v>
      </c>
      <c r="J18" s="6" t="n">
        <v>693</v>
      </c>
      <c r="K18" s="7" t="n">
        <v>0.4</v>
      </c>
      <c r="L18" s="6" t="n">
        <f aca="false">J18*K18</f>
        <v>277.2</v>
      </c>
      <c r="M18" s="4" t="s">
        <v>27</v>
      </c>
      <c r="N18" s="4" t="s">
        <v>23</v>
      </c>
    </row>
    <row r="19" customFormat="false" ht="15" hidden="false" customHeight="false" outlineLevel="0" collapsed="false">
      <c r="A19" s="4" t="s">
        <v>69</v>
      </c>
      <c r="B19" s="4" t="s">
        <v>17</v>
      </c>
      <c r="C19" s="4" t="s">
        <v>70</v>
      </c>
      <c r="D19" s="4" t="s">
        <v>33</v>
      </c>
      <c r="E19" s="5" t="n">
        <v>45658</v>
      </c>
      <c r="F19" s="5" t="n">
        <v>46022</v>
      </c>
      <c r="G19" s="4" t="s">
        <v>71</v>
      </c>
      <c r="H19" s="4" t="s">
        <v>21</v>
      </c>
      <c r="I19" s="6" t="n">
        <v>100000</v>
      </c>
      <c r="J19" s="6" t="n">
        <v>747</v>
      </c>
      <c r="K19" s="7" t="n">
        <v>0.4</v>
      </c>
      <c r="L19" s="6" t="n">
        <f aca="false">J19*K19</f>
        <v>298.8</v>
      </c>
      <c r="M19" s="4" t="s">
        <v>22</v>
      </c>
      <c r="N19" s="4" t="s">
        <v>23</v>
      </c>
    </row>
    <row r="20" customFormat="false" ht="15" hidden="false" customHeight="false" outlineLevel="0" collapsed="false">
      <c r="A20" s="4" t="s">
        <v>72</v>
      </c>
      <c r="B20" s="4" t="s">
        <v>17</v>
      </c>
      <c r="C20" s="4" t="s">
        <v>73</v>
      </c>
      <c r="D20" s="4" t="s">
        <v>19</v>
      </c>
      <c r="E20" s="5" t="n">
        <v>45931</v>
      </c>
      <c r="F20" s="5" t="n">
        <v>46295</v>
      </c>
      <c r="G20" s="4" t="s">
        <v>74</v>
      </c>
      <c r="H20" s="4" t="s">
        <v>21</v>
      </c>
      <c r="I20" s="6" t="n">
        <v>500000</v>
      </c>
      <c r="J20" s="6" t="n">
        <v>3654</v>
      </c>
      <c r="K20" s="7" t="n">
        <v>0.5</v>
      </c>
      <c r="L20" s="6" t="n">
        <f aca="false">J20*K20</f>
        <v>1827</v>
      </c>
      <c r="M20" s="4" t="s">
        <v>22</v>
      </c>
      <c r="N20" s="4" t="s">
        <v>23</v>
      </c>
    </row>
    <row r="21" customFormat="false" ht="15" hidden="false" customHeight="false" outlineLevel="0" collapsed="false">
      <c r="A21" s="4" t="s">
        <v>75</v>
      </c>
      <c r="B21" s="4" t="s">
        <v>17</v>
      </c>
      <c r="C21" s="4" t="s">
        <v>76</v>
      </c>
      <c r="D21" s="4" t="s">
        <v>19</v>
      </c>
      <c r="E21" s="5" t="n">
        <v>45748</v>
      </c>
      <c r="F21" s="5" t="n">
        <v>46112</v>
      </c>
      <c r="G21" s="4" t="s">
        <v>77</v>
      </c>
      <c r="H21" s="4" t="s">
        <v>21</v>
      </c>
      <c r="I21" s="6" t="n">
        <v>100000</v>
      </c>
      <c r="J21" s="6" t="n">
        <v>646</v>
      </c>
      <c r="K21" s="7" t="n">
        <v>0.4</v>
      </c>
      <c r="L21" s="6" t="n">
        <f aca="false">J21*K21</f>
        <v>258.4</v>
      </c>
      <c r="M21" s="4" t="s">
        <v>27</v>
      </c>
      <c r="N21" s="4" t="s">
        <v>23</v>
      </c>
    </row>
    <row r="22" customFormat="false" ht="15" hidden="false" customHeight="false" outlineLevel="0" collapsed="false">
      <c r="A22" s="4" t="s">
        <v>78</v>
      </c>
      <c r="B22" s="4" t="s">
        <v>17</v>
      </c>
      <c r="C22" s="4" t="s">
        <v>79</v>
      </c>
      <c r="D22" s="4" t="s">
        <v>19</v>
      </c>
      <c r="E22" s="5" t="n">
        <v>45931</v>
      </c>
      <c r="F22" s="5" t="n">
        <v>46295</v>
      </c>
      <c r="G22" s="4" t="s">
        <v>80</v>
      </c>
      <c r="H22" s="4" t="s">
        <v>21</v>
      </c>
      <c r="I22" s="6" t="n">
        <v>250000</v>
      </c>
      <c r="J22" s="6" t="n">
        <v>828</v>
      </c>
      <c r="K22" s="7" t="n">
        <v>0.3</v>
      </c>
      <c r="L22" s="6" t="n">
        <f aca="false">J22*K22</f>
        <v>248.4</v>
      </c>
      <c r="M22" s="4" t="s">
        <v>27</v>
      </c>
      <c r="N22" s="4" t="s">
        <v>23</v>
      </c>
    </row>
    <row r="23" customFormat="false" ht="15" hidden="false" customHeight="false" outlineLevel="0" collapsed="false">
      <c r="A23" s="4" t="s">
        <v>81</v>
      </c>
      <c r="B23" s="4" t="s">
        <v>17</v>
      </c>
      <c r="C23" s="4" t="s">
        <v>82</v>
      </c>
      <c r="D23" s="4" t="s">
        <v>19</v>
      </c>
      <c r="E23" s="5" t="n">
        <v>45658</v>
      </c>
      <c r="F23" s="5" t="n">
        <v>46022</v>
      </c>
      <c r="G23" s="4" t="s">
        <v>83</v>
      </c>
      <c r="H23" s="4" t="s">
        <v>21</v>
      </c>
      <c r="I23" s="6" t="n">
        <v>2000000</v>
      </c>
      <c r="J23" s="6" t="n">
        <v>5315</v>
      </c>
      <c r="K23" s="7" t="n">
        <v>0.3</v>
      </c>
      <c r="L23" s="6" t="n">
        <f aca="false">J23*K23</f>
        <v>1594.5</v>
      </c>
      <c r="M23" s="4" t="s">
        <v>27</v>
      </c>
      <c r="N23" s="4" t="s">
        <v>23</v>
      </c>
    </row>
    <row r="24" customFormat="false" ht="15" hidden="false" customHeight="false" outlineLevel="0" collapsed="false">
      <c r="A24" s="4" t="s">
        <v>84</v>
      </c>
      <c r="B24" s="4" t="s">
        <v>17</v>
      </c>
      <c r="C24" s="4" t="s">
        <v>85</v>
      </c>
      <c r="D24" s="4" t="s">
        <v>58</v>
      </c>
      <c r="E24" s="5" t="n">
        <v>45658</v>
      </c>
      <c r="F24" s="5" t="n">
        <v>46022</v>
      </c>
      <c r="G24" s="4" t="s">
        <v>86</v>
      </c>
      <c r="H24" s="4" t="s">
        <v>21</v>
      </c>
      <c r="I24" s="6" t="n">
        <v>500000</v>
      </c>
      <c r="J24" s="6" t="n">
        <v>2144</v>
      </c>
      <c r="K24" s="7" t="n">
        <v>0.5</v>
      </c>
      <c r="L24" s="6" t="n">
        <f aca="false">J24*K24</f>
        <v>1072</v>
      </c>
      <c r="M24" s="4" t="s">
        <v>42</v>
      </c>
      <c r="N24" s="4" t="s">
        <v>23</v>
      </c>
    </row>
    <row r="25" customFormat="false" ht="15" hidden="false" customHeight="false" outlineLevel="0" collapsed="false">
      <c r="A25" s="8" t="s">
        <v>87</v>
      </c>
      <c r="I25" s="9" t="n">
        <f aca="false">SUM(I5:I24)</f>
        <v>11150000</v>
      </c>
      <c r="J25" s="9" t="n">
        <f aca="false">SUM(J5:J24)</f>
        <v>44407</v>
      </c>
      <c r="L25" s="9" t="n">
        <f aca="false">SUM(L5:L24)</f>
        <v>15364.2</v>
      </c>
    </row>
  </sheetData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22"/>
    <col collapsed="false" customWidth="true" hidden="false" outlineLevel="0" max="8" min="4" style="0" width="16"/>
    <col collapsed="false" customWidth="true" hidden="false" outlineLevel="0" max="9" min="9" style="0" width="38"/>
    <col collapsed="false" customWidth="true" hidden="false" outlineLevel="0" max="10" min="10" style="0" width="22"/>
    <col collapsed="false" customWidth="true" hidden="false" outlineLevel="0" max="16" min="11" style="0" width="16"/>
  </cols>
  <sheetData>
    <row r="1" customFormat="false" ht="17.35" hidden="false" customHeight="false" outlineLevel="0" collapsed="false">
      <c r="A1" s="1" t="s">
        <v>88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5" hidden="false" customHeight="false" outlineLevel="0" collapsed="false">
      <c r="A2" s="2" t="s">
        <v>89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customFormat="false" ht="15" hidden="false" customHeight="false" outlineLevel="0" collapsed="false">
      <c r="A4" s="3" t="s">
        <v>90</v>
      </c>
      <c r="B4" s="3" t="s">
        <v>2</v>
      </c>
      <c r="C4" s="3" t="s">
        <v>91</v>
      </c>
      <c r="D4" s="3" t="s">
        <v>92</v>
      </c>
      <c r="E4" s="3" t="s">
        <v>93</v>
      </c>
      <c r="F4" s="3" t="s">
        <v>5</v>
      </c>
      <c r="G4" s="3" t="s">
        <v>94</v>
      </c>
      <c r="H4" s="3" t="s">
        <v>95</v>
      </c>
      <c r="I4" s="3" t="s">
        <v>96</v>
      </c>
      <c r="J4" s="3" t="s">
        <v>8</v>
      </c>
      <c r="K4" s="3" t="s">
        <v>9</v>
      </c>
      <c r="L4" s="3" t="s">
        <v>97</v>
      </c>
      <c r="M4" s="3" t="s">
        <v>98</v>
      </c>
      <c r="N4" s="3" t="s">
        <v>99</v>
      </c>
      <c r="O4" s="3" t="s">
        <v>100</v>
      </c>
      <c r="P4" s="3" t="s">
        <v>15</v>
      </c>
    </row>
    <row r="5" customFormat="false" ht="15" hidden="false" customHeight="false" outlineLevel="0" collapsed="false">
      <c r="A5" s="4" t="s">
        <v>101</v>
      </c>
      <c r="B5" s="4" t="s">
        <v>31</v>
      </c>
      <c r="C5" s="4" t="s">
        <v>17</v>
      </c>
      <c r="D5" s="4" t="s">
        <v>102</v>
      </c>
      <c r="E5" s="4" t="s">
        <v>103</v>
      </c>
      <c r="F5" s="4" t="s">
        <v>33</v>
      </c>
      <c r="G5" s="5" t="n">
        <v>45933</v>
      </c>
      <c r="H5" s="5" t="n">
        <v>45934</v>
      </c>
      <c r="I5" s="4" t="s">
        <v>104</v>
      </c>
      <c r="J5" s="4" t="s">
        <v>34</v>
      </c>
      <c r="K5" s="4" t="s">
        <v>21</v>
      </c>
      <c r="L5" s="6" t="n">
        <v>2350000</v>
      </c>
      <c r="M5" s="6" t="n">
        <v>185000</v>
      </c>
      <c r="N5" s="6" t="n">
        <v>1200000</v>
      </c>
      <c r="O5" s="6" t="n">
        <f aca="false">L5+M5+N5</f>
        <v>3735000</v>
      </c>
      <c r="P5" s="4" t="s">
        <v>105</v>
      </c>
    </row>
    <row r="6" customFormat="false" ht="15" hidden="false" customHeight="false" outlineLevel="0" collapsed="false">
      <c r="A6" s="4" t="s">
        <v>106</v>
      </c>
      <c r="B6" s="4" t="s">
        <v>56</v>
      </c>
      <c r="C6" s="4" t="s">
        <v>17</v>
      </c>
      <c r="D6" s="4" t="s">
        <v>107</v>
      </c>
      <c r="E6" s="4" t="s">
        <v>108</v>
      </c>
      <c r="F6" s="4" t="s">
        <v>58</v>
      </c>
      <c r="G6" s="5" t="n">
        <v>45945</v>
      </c>
      <c r="H6" s="5" t="n">
        <v>45948</v>
      </c>
      <c r="I6" s="4" t="s">
        <v>109</v>
      </c>
      <c r="J6" s="4" t="s">
        <v>20</v>
      </c>
      <c r="K6" s="4" t="s">
        <v>21</v>
      </c>
      <c r="L6" s="6" t="n">
        <v>5400000</v>
      </c>
      <c r="M6" s="6" t="n">
        <v>1250000</v>
      </c>
      <c r="N6" s="6" t="n">
        <v>12000000</v>
      </c>
      <c r="O6" s="6" t="n">
        <f aca="false">L6+M6+N6</f>
        <v>18650000</v>
      </c>
      <c r="P6" s="4" t="s">
        <v>105</v>
      </c>
    </row>
    <row r="7" customFormat="false" ht="15" hidden="false" customHeight="false" outlineLevel="0" collapsed="false">
      <c r="A7" s="4" t="s">
        <v>110</v>
      </c>
      <c r="B7" s="4" t="s">
        <v>24</v>
      </c>
      <c r="C7" s="4" t="s">
        <v>17</v>
      </c>
      <c r="D7" s="4" t="s">
        <v>102</v>
      </c>
      <c r="E7" s="4" t="s">
        <v>111</v>
      </c>
      <c r="F7" s="4" t="s">
        <v>19</v>
      </c>
      <c r="G7" s="5" t="n">
        <v>45963</v>
      </c>
      <c r="H7" s="5" t="n">
        <v>45964</v>
      </c>
      <c r="I7" s="4" t="s">
        <v>112</v>
      </c>
      <c r="J7" s="4" t="s">
        <v>26</v>
      </c>
      <c r="K7" s="4" t="s">
        <v>21</v>
      </c>
      <c r="L7" s="6" t="n">
        <v>890000</v>
      </c>
      <c r="M7" s="6" t="n">
        <v>67000</v>
      </c>
      <c r="N7" s="6" t="n">
        <v>350000</v>
      </c>
      <c r="O7" s="6" t="n">
        <f aca="false">L7+M7+N7</f>
        <v>1307000</v>
      </c>
      <c r="P7" s="4" t="s">
        <v>105</v>
      </c>
    </row>
    <row r="8" customFormat="false" ht="15" hidden="false" customHeight="false" outlineLevel="0" collapsed="false">
      <c r="A8" s="4" t="s">
        <v>113</v>
      </c>
      <c r="B8" s="4" t="s">
        <v>39</v>
      </c>
      <c r="C8" s="4" t="s">
        <v>17</v>
      </c>
      <c r="D8" s="4" t="s">
        <v>102</v>
      </c>
      <c r="E8" s="4" t="s">
        <v>114</v>
      </c>
      <c r="F8" s="4" t="s">
        <v>33</v>
      </c>
      <c r="G8" s="5" t="n">
        <v>45981</v>
      </c>
      <c r="H8" s="5" t="n">
        <v>45982</v>
      </c>
      <c r="I8" s="4" t="s">
        <v>115</v>
      </c>
      <c r="J8" s="4" t="s">
        <v>41</v>
      </c>
      <c r="K8" s="4" t="s">
        <v>21</v>
      </c>
      <c r="L8" s="6" t="n">
        <v>1750000</v>
      </c>
      <c r="M8" s="6" t="n">
        <v>142000</v>
      </c>
      <c r="N8" s="6" t="n">
        <v>2800000</v>
      </c>
      <c r="O8" s="6" t="n">
        <f aca="false">L8+M8+N8</f>
        <v>4692000</v>
      </c>
      <c r="P8" s="4" t="s">
        <v>105</v>
      </c>
    </row>
    <row r="9" customFormat="false" ht="15" hidden="false" customHeight="false" outlineLevel="0" collapsed="false">
      <c r="A9" s="4" t="s">
        <v>116</v>
      </c>
      <c r="B9" s="4" t="s">
        <v>62</v>
      </c>
      <c r="C9" s="4" t="s">
        <v>17</v>
      </c>
      <c r="D9" s="4" t="s">
        <v>102</v>
      </c>
      <c r="E9" s="4" t="s">
        <v>117</v>
      </c>
      <c r="F9" s="4" t="s">
        <v>64</v>
      </c>
      <c r="G9" s="5" t="n">
        <v>45933</v>
      </c>
      <c r="H9" s="5" t="n">
        <v>45940</v>
      </c>
      <c r="I9" s="4" t="s">
        <v>118</v>
      </c>
      <c r="J9" s="4" t="s">
        <v>34</v>
      </c>
      <c r="K9" s="4" t="s">
        <v>21</v>
      </c>
      <c r="L9" s="6" t="n">
        <v>4200000</v>
      </c>
      <c r="M9" s="6" t="n">
        <v>95000</v>
      </c>
      <c r="N9" s="6" t="n">
        <v>3500000</v>
      </c>
      <c r="O9" s="6" t="n">
        <f aca="false">L9+M9+N9</f>
        <v>7795000</v>
      </c>
      <c r="P9" s="4" t="s">
        <v>105</v>
      </c>
    </row>
    <row r="10" customFormat="false" ht="15" hidden="false" customHeight="false" outlineLevel="0" collapsed="false">
      <c r="A10" s="4" t="s">
        <v>119</v>
      </c>
      <c r="B10" s="4" t="s">
        <v>46</v>
      </c>
      <c r="C10" s="4" t="s">
        <v>17</v>
      </c>
      <c r="D10" s="4" t="s">
        <v>102</v>
      </c>
      <c r="E10" s="4" t="s">
        <v>120</v>
      </c>
      <c r="F10" s="4" t="s">
        <v>19</v>
      </c>
      <c r="G10" s="5" t="n">
        <v>45992</v>
      </c>
      <c r="H10" s="5" t="n">
        <v>45993</v>
      </c>
      <c r="I10" s="4" t="s">
        <v>121</v>
      </c>
      <c r="J10" s="4" t="s">
        <v>48</v>
      </c>
      <c r="K10" s="4" t="s">
        <v>21</v>
      </c>
      <c r="L10" s="6" t="n">
        <v>320000</v>
      </c>
      <c r="M10" s="6" t="n">
        <v>28000</v>
      </c>
      <c r="N10" s="6" t="n">
        <v>0</v>
      </c>
      <c r="O10" s="6" t="n">
        <f aca="false">L10+M10+N10</f>
        <v>348000</v>
      </c>
      <c r="P10" s="4" t="s">
        <v>122</v>
      </c>
    </row>
    <row r="11" customFormat="false" ht="15" hidden="false" customHeight="false" outlineLevel="0" collapsed="false">
      <c r="A11" s="4" t="s">
        <v>123</v>
      </c>
      <c r="B11" s="4" t="s">
        <v>60</v>
      </c>
      <c r="C11" s="4" t="s">
        <v>17</v>
      </c>
      <c r="D11" s="4" t="s">
        <v>124</v>
      </c>
      <c r="E11" s="4" t="s">
        <v>108</v>
      </c>
      <c r="F11" s="4" t="s">
        <v>58</v>
      </c>
      <c r="G11" s="5" t="n">
        <v>45962</v>
      </c>
      <c r="H11" s="5" t="n">
        <v>45976</v>
      </c>
      <c r="I11" s="4" t="s">
        <v>125</v>
      </c>
      <c r="J11" s="4" t="s">
        <v>55</v>
      </c>
      <c r="K11" s="4" t="s">
        <v>21</v>
      </c>
      <c r="L11" s="6" t="n">
        <v>3200000</v>
      </c>
      <c r="M11" s="6" t="n">
        <v>480000</v>
      </c>
      <c r="N11" s="6" t="n">
        <v>0</v>
      </c>
      <c r="O11" s="6" t="n">
        <f aca="false">L11+M11+N11</f>
        <v>3680000</v>
      </c>
      <c r="P11" s="4" t="s">
        <v>122</v>
      </c>
    </row>
    <row r="12" customFormat="false" ht="15" hidden="false" customHeight="false" outlineLevel="0" collapsed="false">
      <c r="A12" s="4" t="s">
        <v>126</v>
      </c>
      <c r="B12" s="4" t="s">
        <v>69</v>
      </c>
      <c r="C12" s="4" t="s">
        <v>17</v>
      </c>
      <c r="D12" s="4" t="s">
        <v>102</v>
      </c>
      <c r="E12" s="4" t="s">
        <v>127</v>
      </c>
      <c r="F12" s="4" t="s">
        <v>33</v>
      </c>
      <c r="G12" s="5" t="n">
        <v>46001</v>
      </c>
      <c r="H12" s="5" t="n">
        <v>46002</v>
      </c>
      <c r="I12" s="4" t="s">
        <v>128</v>
      </c>
      <c r="J12" s="4" t="s">
        <v>71</v>
      </c>
      <c r="K12" s="4" t="s">
        <v>21</v>
      </c>
      <c r="L12" s="6" t="n">
        <v>0</v>
      </c>
      <c r="M12" s="6" t="n">
        <v>15000</v>
      </c>
      <c r="N12" s="6" t="n">
        <v>950000</v>
      </c>
      <c r="O12" s="6" t="n">
        <f aca="false">L12+M12+N12</f>
        <v>965000</v>
      </c>
      <c r="P12" s="4" t="s">
        <v>105</v>
      </c>
    </row>
    <row r="13" customFormat="false" ht="15" hidden="false" customHeight="false" outlineLevel="0" collapsed="false">
      <c r="A13" s="8" t="s">
        <v>87</v>
      </c>
      <c r="L13" s="9" t="n">
        <f aca="false">SUM(L5:L12)</f>
        <v>18110000</v>
      </c>
      <c r="M13" s="9" t="n">
        <f aca="false">SUM(M5:M12)</f>
        <v>2262000</v>
      </c>
      <c r="N13" s="9" t="n">
        <f aca="false">SUM(N5:N12)</f>
        <v>20800000</v>
      </c>
      <c r="O13" s="9" t="n">
        <f aca="false">SUM(O5:O12)</f>
        <v>41172000</v>
      </c>
    </row>
  </sheetData>
  <mergeCells count="2">
    <mergeCell ref="A1:P1"/>
    <mergeCell ref="A2:P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4"/>
    <col collapsed="false" customWidth="true" hidden="false" outlineLevel="0" max="3" min="3" style="0" width="28"/>
    <col collapsed="false" customWidth="true" hidden="false" outlineLevel="0" max="18" min="4" style="0" width="16"/>
  </cols>
  <sheetData>
    <row r="1" customFormat="false" ht="17.35" hidden="false" customHeight="false" outlineLevel="0" collapsed="false">
      <c r="A1" s="1" t="s">
        <v>129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5" hidden="false" customHeight="false" outlineLevel="0" collapsed="false">
      <c r="A2" s="2" t="s">
        <v>130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4" customFormat="false" ht="15" hidden="false" customHeight="false" outlineLevel="0" collapsed="false">
      <c r="A4" s="3" t="s">
        <v>131</v>
      </c>
      <c r="B4" s="3" t="s">
        <v>132</v>
      </c>
      <c r="C4" s="3" t="s">
        <v>133</v>
      </c>
      <c r="D4" s="3" t="s">
        <v>134</v>
      </c>
      <c r="E4" s="3" t="s">
        <v>135</v>
      </c>
      <c r="F4" s="3" t="s">
        <v>136</v>
      </c>
      <c r="G4" s="3" t="s">
        <v>137</v>
      </c>
      <c r="H4" s="3" t="s">
        <v>138</v>
      </c>
      <c r="I4" s="3" t="s">
        <v>139</v>
      </c>
      <c r="J4" s="3" t="s">
        <v>140</v>
      </c>
      <c r="K4" s="3" t="s">
        <v>141</v>
      </c>
      <c r="L4" s="3" t="s">
        <v>142</v>
      </c>
      <c r="M4" s="3" t="s">
        <v>143</v>
      </c>
      <c r="N4" s="3" t="s">
        <v>144</v>
      </c>
      <c r="O4" s="3" t="s">
        <v>145</v>
      </c>
      <c r="P4" s="3" t="s">
        <v>146</v>
      </c>
      <c r="Q4" s="3" t="s">
        <v>147</v>
      </c>
      <c r="R4" s="3" t="s">
        <v>148</v>
      </c>
    </row>
    <row r="5" customFormat="false" ht="15" hidden="false" customHeight="false" outlineLevel="0" collapsed="false">
      <c r="A5" s="4" t="n">
        <v>1</v>
      </c>
      <c r="B5" s="4" t="s">
        <v>149</v>
      </c>
      <c r="C5" s="4" t="s">
        <v>150</v>
      </c>
      <c r="D5" s="4" t="s">
        <v>151</v>
      </c>
      <c r="E5" s="4" t="s">
        <v>152</v>
      </c>
      <c r="F5" s="4" t="s">
        <v>153</v>
      </c>
      <c r="G5" s="4" t="s">
        <v>154</v>
      </c>
      <c r="H5" s="4" t="s">
        <v>155</v>
      </c>
      <c r="I5" s="4" t="n">
        <v>4</v>
      </c>
      <c r="J5" s="4" t="n">
        <v>2009</v>
      </c>
      <c r="K5" s="4" t="s">
        <v>156</v>
      </c>
      <c r="L5" s="4" t="s">
        <v>157</v>
      </c>
      <c r="M5" s="6" t="n">
        <v>450000</v>
      </c>
      <c r="N5" s="6" t="n">
        <v>120000</v>
      </c>
      <c r="O5" s="6" t="n">
        <v>380000</v>
      </c>
      <c r="P5" s="6" t="n">
        <f aca="false">M5+N5+O5</f>
        <v>950000</v>
      </c>
      <c r="Q5" s="4" t="s">
        <v>158</v>
      </c>
      <c r="R5" s="4" t="s">
        <v>159</v>
      </c>
    </row>
    <row r="6" customFormat="false" ht="15" hidden="false" customHeight="false" outlineLevel="0" collapsed="false">
      <c r="A6" s="4" t="n">
        <v>2</v>
      </c>
      <c r="B6" s="4" t="s">
        <v>160</v>
      </c>
      <c r="C6" s="4" t="s">
        <v>161</v>
      </c>
      <c r="D6" s="4" t="s">
        <v>151</v>
      </c>
      <c r="E6" s="4" t="s">
        <v>152</v>
      </c>
      <c r="F6" s="4" t="s">
        <v>153</v>
      </c>
      <c r="G6" s="4" t="s">
        <v>154</v>
      </c>
      <c r="H6" s="4" t="s">
        <v>155</v>
      </c>
      <c r="I6" s="4" t="n">
        <v>3</v>
      </c>
      <c r="J6" s="4" t="n">
        <v>1992</v>
      </c>
      <c r="K6" s="4" t="s">
        <v>162</v>
      </c>
      <c r="L6" s="4" t="s">
        <v>157</v>
      </c>
      <c r="M6" s="6" t="n">
        <v>280000</v>
      </c>
      <c r="N6" s="6" t="n">
        <v>95000</v>
      </c>
      <c r="O6" s="6" t="n">
        <v>250000</v>
      </c>
      <c r="P6" s="6" t="n">
        <f aca="false">M6+N6+O6</f>
        <v>625000</v>
      </c>
      <c r="Q6" s="4" t="s">
        <v>158</v>
      </c>
      <c r="R6" s="4" t="s">
        <v>159</v>
      </c>
    </row>
    <row r="7" customFormat="false" ht="15" hidden="false" customHeight="false" outlineLevel="0" collapsed="false">
      <c r="A7" s="4" t="n">
        <v>3</v>
      </c>
      <c r="B7" s="4" t="s">
        <v>163</v>
      </c>
      <c r="C7" s="4" t="s">
        <v>164</v>
      </c>
      <c r="D7" s="4" t="s">
        <v>151</v>
      </c>
      <c r="E7" s="4" t="s">
        <v>152</v>
      </c>
      <c r="F7" s="4" t="s">
        <v>153</v>
      </c>
      <c r="G7" s="4" t="s">
        <v>154</v>
      </c>
      <c r="H7" s="4" t="s">
        <v>155</v>
      </c>
      <c r="I7" s="4" t="n">
        <v>6</v>
      </c>
      <c r="J7" s="4" t="n">
        <v>2020</v>
      </c>
      <c r="K7" s="4" t="s">
        <v>165</v>
      </c>
      <c r="L7" s="4" t="s">
        <v>157</v>
      </c>
      <c r="M7" s="6" t="n">
        <v>680000</v>
      </c>
      <c r="N7" s="6" t="n">
        <v>180000</v>
      </c>
      <c r="O7" s="6" t="n">
        <v>520000</v>
      </c>
      <c r="P7" s="6" t="n">
        <f aca="false">M7+N7+O7</f>
        <v>1380000</v>
      </c>
      <c r="Q7" s="4" t="s">
        <v>158</v>
      </c>
      <c r="R7" s="4" t="s">
        <v>159</v>
      </c>
    </row>
    <row r="8" customFormat="false" ht="15" hidden="false" customHeight="false" outlineLevel="0" collapsed="false">
      <c r="A8" s="4" t="n">
        <v>4</v>
      </c>
      <c r="B8" s="4" t="s">
        <v>166</v>
      </c>
      <c r="C8" s="4" t="s">
        <v>167</v>
      </c>
      <c r="D8" s="4" t="s">
        <v>168</v>
      </c>
      <c r="E8" s="4" t="s">
        <v>152</v>
      </c>
      <c r="F8" s="4" t="s">
        <v>153</v>
      </c>
      <c r="G8" s="4" t="s">
        <v>169</v>
      </c>
      <c r="H8" s="4" t="s">
        <v>170</v>
      </c>
      <c r="I8" s="4" t="n">
        <v>2</v>
      </c>
      <c r="J8" s="4" t="n">
        <v>2018</v>
      </c>
      <c r="K8" s="4" t="s">
        <v>33</v>
      </c>
      <c r="L8" s="4" t="s">
        <v>157</v>
      </c>
      <c r="M8" s="6" t="n">
        <v>1200000</v>
      </c>
      <c r="N8" s="6" t="n">
        <v>2500000</v>
      </c>
      <c r="O8" s="6" t="n">
        <v>4800000</v>
      </c>
      <c r="P8" s="6" t="n">
        <f aca="false">M8+N8+O8</f>
        <v>8500000</v>
      </c>
      <c r="Q8" s="4" t="s">
        <v>171</v>
      </c>
      <c r="R8" s="4" t="s">
        <v>159</v>
      </c>
    </row>
    <row r="9" customFormat="false" ht="15" hidden="false" customHeight="false" outlineLevel="0" collapsed="false">
      <c r="A9" s="4" t="n">
        <v>5</v>
      </c>
      <c r="B9" s="4" t="s">
        <v>172</v>
      </c>
      <c r="C9" s="4" t="s">
        <v>173</v>
      </c>
      <c r="D9" s="4" t="s">
        <v>174</v>
      </c>
      <c r="E9" s="4" t="s">
        <v>175</v>
      </c>
      <c r="F9" s="4" t="s">
        <v>153</v>
      </c>
      <c r="G9" s="4" t="s">
        <v>176</v>
      </c>
      <c r="H9" s="4" t="s">
        <v>170</v>
      </c>
      <c r="I9" s="4" t="n">
        <v>2</v>
      </c>
      <c r="J9" s="4" t="n">
        <v>2016</v>
      </c>
      <c r="K9" s="4" t="s">
        <v>33</v>
      </c>
      <c r="L9" s="4" t="s">
        <v>157</v>
      </c>
      <c r="M9" s="6" t="n">
        <v>980000</v>
      </c>
      <c r="N9" s="6" t="n">
        <v>2100000</v>
      </c>
      <c r="O9" s="6" t="n">
        <v>3900000</v>
      </c>
      <c r="P9" s="6" t="n">
        <f aca="false">M9+N9+O9</f>
        <v>6980000</v>
      </c>
      <c r="Q9" s="4" t="s">
        <v>159</v>
      </c>
      <c r="R9" s="4" t="s">
        <v>158</v>
      </c>
    </row>
    <row r="10" customFormat="false" ht="15" hidden="false" customHeight="false" outlineLevel="0" collapsed="false">
      <c r="A10" s="4" t="n">
        <v>6</v>
      </c>
      <c r="B10" s="4" t="s">
        <v>177</v>
      </c>
      <c r="C10" s="4" t="s">
        <v>178</v>
      </c>
      <c r="D10" s="4" t="s">
        <v>179</v>
      </c>
      <c r="E10" s="4" t="s">
        <v>180</v>
      </c>
      <c r="F10" s="4" t="s">
        <v>153</v>
      </c>
      <c r="G10" s="4" t="s">
        <v>181</v>
      </c>
      <c r="H10" s="4" t="s">
        <v>170</v>
      </c>
      <c r="I10" s="4" t="n">
        <v>2</v>
      </c>
      <c r="J10" s="4" t="n">
        <v>2014</v>
      </c>
      <c r="K10" s="4" t="s">
        <v>33</v>
      </c>
      <c r="L10" s="4" t="s">
        <v>157</v>
      </c>
      <c r="M10" s="6" t="n">
        <v>850000</v>
      </c>
      <c r="N10" s="6" t="n">
        <v>1800000</v>
      </c>
      <c r="O10" s="6" t="n">
        <v>3200000</v>
      </c>
      <c r="P10" s="6" t="n">
        <f aca="false">M10+N10+O10</f>
        <v>5850000</v>
      </c>
      <c r="Q10" s="4" t="s">
        <v>171</v>
      </c>
      <c r="R10" s="4" t="s">
        <v>171</v>
      </c>
    </row>
    <row r="11" customFormat="false" ht="15" hidden="false" customHeight="false" outlineLevel="0" collapsed="false">
      <c r="A11" s="4" t="n">
        <v>7</v>
      </c>
      <c r="B11" s="4" t="s">
        <v>182</v>
      </c>
      <c r="C11" s="4" t="s">
        <v>183</v>
      </c>
      <c r="D11" s="4" t="s">
        <v>184</v>
      </c>
      <c r="E11" s="4" t="s">
        <v>185</v>
      </c>
      <c r="F11" s="4" t="s">
        <v>153</v>
      </c>
      <c r="G11" s="4" t="s">
        <v>186</v>
      </c>
      <c r="H11" s="4" t="s">
        <v>170</v>
      </c>
      <c r="I11" s="4" t="n">
        <v>2</v>
      </c>
      <c r="J11" s="4" t="n">
        <v>2020</v>
      </c>
      <c r="K11" s="4" t="s">
        <v>33</v>
      </c>
      <c r="L11" s="4" t="s">
        <v>157</v>
      </c>
      <c r="M11" s="6" t="n">
        <v>1100000</v>
      </c>
      <c r="N11" s="6" t="n">
        <v>2300000</v>
      </c>
      <c r="O11" s="6" t="n">
        <v>4500000</v>
      </c>
      <c r="P11" s="6" t="n">
        <f aca="false">M11+N11+O11</f>
        <v>7900000</v>
      </c>
      <c r="Q11" s="4" t="s">
        <v>159</v>
      </c>
      <c r="R11" s="4" t="s">
        <v>171</v>
      </c>
    </row>
    <row r="12" customFormat="false" ht="15" hidden="false" customHeight="false" outlineLevel="0" collapsed="false">
      <c r="A12" s="4" t="n">
        <v>8</v>
      </c>
      <c r="B12" s="4" t="s">
        <v>187</v>
      </c>
      <c r="C12" s="4" t="s">
        <v>188</v>
      </c>
      <c r="D12" s="4" t="s">
        <v>189</v>
      </c>
      <c r="E12" s="4" t="s">
        <v>190</v>
      </c>
      <c r="F12" s="4" t="s">
        <v>153</v>
      </c>
      <c r="G12" s="4" t="s">
        <v>191</v>
      </c>
      <c r="H12" s="4" t="s">
        <v>170</v>
      </c>
      <c r="I12" s="4" t="n">
        <v>2</v>
      </c>
      <c r="J12" s="4" t="n">
        <v>2022</v>
      </c>
      <c r="K12" s="4" t="s">
        <v>33</v>
      </c>
      <c r="L12" s="4" t="s">
        <v>157</v>
      </c>
      <c r="M12" s="6" t="n">
        <v>1350000</v>
      </c>
      <c r="N12" s="6" t="n">
        <v>2800000</v>
      </c>
      <c r="O12" s="6" t="n">
        <v>5200000</v>
      </c>
      <c r="P12" s="6" t="n">
        <f aca="false">M12+N12+O12</f>
        <v>9350000</v>
      </c>
      <c r="Q12" s="4" t="s">
        <v>171</v>
      </c>
      <c r="R12" s="4" t="s">
        <v>159</v>
      </c>
    </row>
    <row r="13" customFormat="false" ht="15" hidden="false" customHeight="false" outlineLevel="0" collapsed="false">
      <c r="A13" s="4" t="n">
        <v>9</v>
      </c>
      <c r="B13" s="4" t="s">
        <v>192</v>
      </c>
      <c r="C13" s="4" t="s">
        <v>193</v>
      </c>
      <c r="D13" s="4" t="s">
        <v>194</v>
      </c>
      <c r="E13" s="4" t="s">
        <v>195</v>
      </c>
      <c r="F13" s="4" t="s">
        <v>153</v>
      </c>
      <c r="G13" s="4" t="s">
        <v>196</v>
      </c>
      <c r="H13" s="4" t="s">
        <v>170</v>
      </c>
      <c r="I13" s="4" t="n">
        <v>2</v>
      </c>
      <c r="J13" s="4" t="n">
        <v>2019</v>
      </c>
      <c r="K13" s="4" t="s">
        <v>33</v>
      </c>
      <c r="L13" s="4" t="s">
        <v>157</v>
      </c>
      <c r="M13" s="6" t="n">
        <v>920000</v>
      </c>
      <c r="N13" s="6" t="n">
        <v>1950000</v>
      </c>
      <c r="O13" s="6" t="n">
        <v>3600000</v>
      </c>
      <c r="P13" s="6" t="n">
        <f aca="false">M13+N13+O13</f>
        <v>6470000</v>
      </c>
      <c r="Q13" s="4" t="s">
        <v>159</v>
      </c>
      <c r="R13" s="4" t="s">
        <v>171</v>
      </c>
    </row>
    <row r="14" customFormat="false" ht="15" hidden="false" customHeight="false" outlineLevel="0" collapsed="false">
      <c r="A14" s="4" t="n">
        <v>10</v>
      </c>
      <c r="B14" s="4" t="s">
        <v>197</v>
      </c>
      <c r="C14" s="4" t="s">
        <v>198</v>
      </c>
      <c r="D14" s="4" t="s">
        <v>199</v>
      </c>
      <c r="E14" s="4" t="s">
        <v>200</v>
      </c>
      <c r="F14" s="4" t="s">
        <v>201</v>
      </c>
      <c r="G14" s="4" t="s">
        <v>202</v>
      </c>
      <c r="H14" s="4" t="s">
        <v>203</v>
      </c>
      <c r="I14" s="4" t="n">
        <v>5</v>
      </c>
      <c r="J14" s="4" t="n">
        <v>2017</v>
      </c>
      <c r="K14" s="4" t="s">
        <v>204</v>
      </c>
      <c r="L14" s="4" t="s">
        <v>157</v>
      </c>
      <c r="M14" s="6" t="n">
        <v>350000</v>
      </c>
      <c r="N14" s="6" t="n">
        <v>85000</v>
      </c>
      <c r="O14" s="6" t="n">
        <v>290000</v>
      </c>
      <c r="P14" s="6" t="n">
        <f aca="false">M14+N14+O14</f>
        <v>725000</v>
      </c>
      <c r="Q14" s="4" t="s">
        <v>159</v>
      </c>
      <c r="R14" s="4" t="s">
        <v>159</v>
      </c>
    </row>
    <row r="15" customFormat="false" ht="15" hidden="false" customHeight="false" outlineLevel="0" collapsed="false">
      <c r="A15" s="4" t="n">
        <v>11</v>
      </c>
      <c r="B15" s="4" t="s">
        <v>205</v>
      </c>
      <c r="C15" s="4" t="s">
        <v>206</v>
      </c>
      <c r="D15" s="4" t="s">
        <v>207</v>
      </c>
      <c r="E15" s="4" t="s">
        <v>208</v>
      </c>
      <c r="F15" s="4" t="s">
        <v>209</v>
      </c>
      <c r="G15" s="4" t="s">
        <v>210</v>
      </c>
      <c r="H15" s="4" t="s">
        <v>155</v>
      </c>
      <c r="I15" s="4" t="n">
        <v>8</v>
      </c>
      <c r="J15" s="4" t="n">
        <v>2015</v>
      </c>
      <c r="K15" s="4" t="s">
        <v>211</v>
      </c>
      <c r="L15" s="4" t="s">
        <v>157</v>
      </c>
      <c r="M15" s="6" t="n">
        <v>280000</v>
      </c>
      <c r="N15" s="6" t="n">
        <v>60000</v>
      </c>
      <c r="O15" s="6" t="n">
        <v>200000</v>
      </c>
      <c r="P15" s="6" t="n">
        <f aca="false">M15+N15+O15</f>
        <v>540000</v>
      </c>
      <c r="Q15" s="4" t="s">
        <v>159</v>
      </c>
      <c r="R15" s="4" t="s">
        <v>159</v>
      </c>
    </row>
    <row r="16" customFormat="false" ht="15" hidden="false" customHeight="false" outlineLevel="0" collapsed="false">
      <c r="A16" s="4" t="n">
        <v>12</v>
      </c>
      <c r="B16" s="4" t="s">
        <v>212</v>
      </c>
      <c r="C16" s="4" t="s">
        <v>213</v>
      </c>
      <c r="D16" s="4" t="s">
        <v>214</v>
      </c>
      <c r="E16" s="4" t="s">
        <v>215</v>
      </c>
      <c r="F16" s="4" t="s">
        <v>216</v>
      </c>
      <c r="G16" s="4" t="s">
        <v>217</v>
      </c>
      <c r="H16" s="4" t="s">
        <v>155</v>
      </c>
      <c r="I16" s="4" t="n">
        <v>7</v>
      </c>
      <c r="J16" s="4" t="n">
        <v>2019</v>
      </c>
      <c r="K16" s="4" t="s">
        <v>162</v>
      </c>
      <c r="L16" s="4" t="s">
        <v>157</v>
      </c>
      <c r="M16" s="6" t="n">
        <v>180000</v>
      </c>
      <c r="N16" s="6" t="n">
        <v>42000</v>
      </c>
      <c r="O16" s="6" t="n">
        <v>150000</v>
      </c>
      <c r="P16" s="6" t="n">
        <f aca="false">M16+N16+O16</f>
        <v>372000</v>
      </c>
      <c r="Q16" s="4" t="s">
        <v>158</v>
      </c>
      <c r="R16" s="4" t="s">
        <v>159</v>
      </c>
    </row>
    <row r="17" customFormat="false" ht="15" hidden="false" customHeight="false" outlineLevel="0" collapsed="false">
      <c r="A17" s="4" t="n">
        <v>13</v>
      </c>
      <c r="B17" s="4" t="s">
        <v>218</v>
      </c>
      <c r="C17" s="4" t="s">
        <v>219</v>
      </c>
      <c r="D17" s="4" t="s">
        <v>51</v>
      </c>
      <c r="E17" s="4" t="s">
        <v>51</v>
      </c>
      <c r="F17" s="4" t="s">
        <v>220</v>
      </c>
      <c r="G17" s="4" t="s">
        <v>221</v>
      </c>
      <c r="H17" s="4" t="s">
        <v>155</v>
      </c>
      <c r="I17" s="4" t="n">
        <v>3</v>
      </c>
      <c r="J17" s="4" t="n">
        <v>2016</v>
      </c>
      <c r="K17" s="4" t="s">
        <v>211</v>
      </c>
      <c r="L17" s="4" t="s">
        <v>157</v>
      </c>
      <c r="M17" s="6" t="n">
        <v>120000</v>
      </c>
      <c r="N17" s="6" t="n">
        <v>35000</v>
      </c>
      <c r="O17" s="6" t="n">
        <v>100000</v>
      </c>
      <c r="P17" s="6" t="n">
        <f aca="false">M17+N17+O17</f>
        <v>255000</v>
      </c>
      <c r="Q17" s="4" t="s">
        <v>159</v>
      </c>
      <c r="R17" s="4" t="s">
        <v>159</v>
      </c>
    </row>
    <row r="18" customFormat="false" ht="15" hidden="false" customHeight="false" outlineLevel="0" collapsed="false">
      <c r="A18" s="4" t="n">
        <v>14</v>
      </c>
      <c r="B18" s="4" t="s">
        <v>222</v>
      </c>
      <c r="C18" s="4" t="s">
        <v>223</v>
      </c>
      <c r="D18" s="4" t="s">
        <v>224</v>
      </c>
      <c r="E18" s="4" t="s">
        <v>224</v>
      </c>
      <c r="F18" s="4" t="s">
        <v>225</v>
      </c>
      <c r="G18" s="4" t="s">
        <v>226</v>
      </c>
      <c r="H18" s="4" t="s">
        <v>155</v>
      </c>
      <c r="I18" s="4" t="n">
        <v>4</v>
      </c>
      <c r="J18" s="4" t="n">
        <v>2011</v>
      </c>
      <c r="K18" s="4" t="s">
        <v>211</v>
      </c>
      <c r="L18" s="4" t="s">
        <v>157</v>
      </c>
      <c r="M18" s="6" t="n">
        <v>190000</v>
      </c>
      <c r="N18" s="6" t="n">
        <v>48000</v>
      </c>
      <c r="O18" s="6" t="n">
        <v>160000</v>
      </c>
      <c r="P18" s="6" t="n">
        <f aca="false">M18+N18+O18</f>
        <v>398000</v>
      </c>
      <c r="Q18" s="4" t="s">
        <v>227</v>
      </c>
      <c r="R18" s="4" t="s">
        <v>171</v>
      </c>
    </row>
    <row r="19" customFormat="false" ht="15" hidden="false" customHeight="false" outlineLevel="0" collapsed="false">
      <c r="A19" s="4" t="n">
        <v>15</v>
      </c>
      <c r="B19" s="4" t="s">
        <v>228</v>
      </c>
      <c r="C19" s="4" t="s">
        <v>229</v>
      </c>
      <c r="D19" s="4" t="s">
        <v>230</v>
      </c>
      <c r="E19" s="4" t="s">
        <v>231</v>
      </c>
      <c r="F19" s="4" t="s">
        <v>232</v>
      </c>
      <c r="G19" s="4" t="s">
        <v>233</v>
      </c>
      <c r="H19" s="4" t="s">
        <v>155</v>
      </c>
      <c r="I19" s="4" t="n">
        <v>3</v>
      </c>
      <c r="J19" s="4" t="n">
        <v>2018</v>
      </c>
      <c r="K19" s="4" t="s">
        <v>211</v>
      </c>
      <c r="L19" s="4" t="s">
        <v>157</v>
      </c>
      <c r="M19" s="6" t="n">
        <v>140000</v>
      </c>
      <c r="N19" s="6" t="n">
        <v>38000</v>
      </c>
      <c r="O19" s="6" t="n">
        <v>110000</v>
      </c>
      <c r="P19" s="6" t="n">
        <f aca="false">M19+N19+O19</f>
        <v>288000</v>
      </c>
      <c r="Q19" s="4" t="s">
        <v>171</v>
      </c>
      <c r="R19" s="4" t="s">
        <v>171</v>
      </c>
    </row>
    <row r="20" customFormat="false" ht="15" hidden="false" customHeight="false" outlineLevel="0" collapsed="false">
      <c r="A20" s="4" t="n">
        <v>16</v>
      </c>
      <c r="B20" s="4" t="s">
        <v>234</v>
      </c>
      <c r="C20" s="4" t="s">
        <v>235</v>
      </c>
      <c r="D20" s="4" t="s">
        <v>236</v>
      </c>
      <c r="E20" s="4" t="s">
        <v>237</v>
      </c>
      <c r="F20" s="4" t="s">
        <v>238</v>
      </c>
      <c r="G20" s="4" t="s">
        <v>239</v>
      </c>
      <c r="H20" s="4" t="s">
        <v>203</v>
      </c>
      <c r="I20" s="4" t="n">
        <v>4</v>
      </c>
      <c r="J20" s="4" t="n">
        <v>2014</v>
      </c>
      <c r="K20" s="4" t="s">
        <v>211</v>
      </c>
      <c r="L20" s="4" t="s">
        <v>157</v>
      </c>
      <c r="M20" s="6" t="n">
        <v>95000</v>
      </c>
      <c r="N20" s="6" t="n">
        <v>22000</v>
      </c>
      <c r="O20" s="6" t="n">
        <v>78000</v>
      </c>
      <c r="P20" s="6" t="n">
        <f aca="false">M20+N20+O20</f>
        <v>195000</v>
      </c>
      <c r="Q20" s="4" t="s">
        <v>159</v>
      </c>
      <c r="R20" s="4" t="s">
        <v>159</v>
      </c>
    </row>
    <row r="21" customFormat="false" ht="15" hidden="false" customHeight="false" outlineLevel="0" collapsed="false">
      <c r="A21" s="4" t="n">
        <v>17</v>
      </c>
      <c r="B21" s="4" t="s">
        <v>240</v>
      </c>
      <c r="C21" s="4" t="s">
        <v>241</v>
      </c>
      <c r="D21" s="4" t="s">
        <v>242</v>
      </c>
      <c r="E21" s="4" t="s">
        <v>243</v>
      </c>
      <c r="F21" s="4" t="s">
        <v>244</v>
      </c>
      <c r="G21" s="4" t="s">
        <v>245</v>
      </c>
      <c r="H21" s="4" t="s">
        <v>170</v>
      </c>
      <c r="I21" s="4" t="n">
        <v>2</v>
      </c>
      <c r="J21" s="4" t="n">
        <v>2021</v>
      </c>
      <c r="K21" s="4" t="s">
        <v>33</v>
      </c>
      <c r="L21" s="4" t="s">
        <v>157</v>
      </c>
      <c r="M21" s="6" t="n">
        <v>780000</v>
      </c>
      <c r="N21" s="6" t="n">
        <v>1650000</v>
      </c>
      <c r="O21" s="6" t="n">
        <v>3100000</v>
      </c>
      <c r="P21" s="6" t="n">
        <f aca="false">M21+N21+O21</f>
        <v>5530000</v>
      </c>
      <c r="Q21" s="4" t="s">
        <v>159</v>
      </c>
      <c r="R21" s="4" t="s">
        <v>171</v>
      </c>
    </row>
    <row r="22" customFormat="false" ht="15" hidden="false" customHeight="false" outlineLevel="0" collapsed="false">
      <c r="A22" s="4" t="n">
        <v>18</v>
      </c>
      <c r="B22" s="4" t="s">
        <v>246</v>
      </c>
      <c r="C22" s="4" t="s">
        <v>247</v>
      </c>
      <c r="D22" s="4" t="s">
        <v>248</v>
      </c>
      <c r="E22" s="4" t="s">
        <v>248</v>
      </c>
      <c r="F22" s="4" t="s">
        <v>195</v>
      </c>
      <c r="G22" s="4" t="s">
        <v>249</v>
      </c>
      <c r="H22" s="4" t="s">
        <v>155</v>
      </c>
      <c r="I22" s="4" t="n">
        <v>6</v>
      </c>
      <c r="J22" s="4" t="n">
        <v>2020</v>
      </c>
      <c r="K22" s="4" t="s">
        <v>162</v>
      </c>
      <c r="L22" s="4" t="s">
        <v>157</v>
      </c>
      <c r="M22" s="6" t="n">
        <v>160000</v>
      </c>
      <c r="N22" s="6" t="n">
        <v>40000</v>
      </c>
      <c r="O22" s="6" t="n">
        <v>130000</v>
      </c>
      <c r="P22" s="6" t="n">
        <f aca="false">M22+N22+O22</f>
        <v>330000</v>
      </c>
      <c r="Q22" s="4" t="s">
        <v>171</v>
      </c>
      <c r="R22" s="4" t="s">
        <v>159</v>
      </c>
    </row>
    <row r="23" customFormat="false" ht="15" hidden="false" customHeight="false" outlineLevel="0" collapsed="false">
      <c r="A23" s="8" t="s">
        <v>87</v>
      </c>
      <c r="M23" s="9" t="n">
        <f aca="false">SUM(M5:M22)</f>
        <v>10105000</v>
      </c>
      <c r="N23" s="9" t="n">
        <f aca="false">SUM(N5:N22)</f>
        <v>15865000</v>
      </c>
      <c r="O23" s="9" t="n">
        <f aca="false">SUM(O5:O22)</f>
        <v>30668000</v>
      </c>
      <c r="P23" s="9" t="n">
        <f aca="false">SUM(P5:P22)</f>
        <v>56638000</v>
      </c>
    </row>
  </sheetData>
  <mergeCells count="2">
    <mergeCell ref="A1:R1"/>
    <mergeCell ref="A2:R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0" width="16"/>
  </cols>
  <sheetData>
    <row r="1" customFormat="false" ht="17.35" hidden="false" customHeight="false" outlineLevel="0" collapsed="false">
      <c r="A1" s="1" t="s">
        <v>250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251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5" hidden="false" customHeight="false" outlineLevel="0" collapsed="false">
      <c r="A4" s="10" t="s">
        <v>252</v>
      </c>
      <c r="B4" s="11" t="s">
        <v>253</v>
      </c>
      <c r="C4" s="11" t="s">
        <v>254</v>
      </c>
      <c r="D4" s="11" t="s">
        <v>255</v>
      </c>
      <c r="E4" s="11" t="s">
        <v>256</v>
      </c>
      <c r="F4" s="11" t="s">
        <v>257</v>
      </c>
      <c r="G4" s="11" t="s">
        <v>258</v>
      </c>
      <c r="H4" s="11" t="s">
        <v>259</v>
      </c>
      <c r="I4" s="11" t="s">
        <v>260</v>
      </c>
      <c r="J4" s="11" t="s">
        <v>261</v>
      </c>
      <c r="K4" s="11" t="s">
        <v>262</v>
      </c>
    </row>
    <row r="5" customFormat="false" ht="15" hidden="false" customHeight="false" outlineLevel="0" collapsed="false">
      <c r="A5" s="12" t="n">
        <v>2016</v>
      </c>
      <c r="B5" s="13" t="n">
        <v>8900</v>
      </c>
      <c r="C5" s="13" t="n">
        <v>12505</v>
      </c>
      <c r="D5" s="13" t="n">
        <v>13582</v>
      </c>
      <c r="E5" s="13" t="n">
        <v>15811</v>
      </c>
      <c r="F5" s="13" t="n">
        <v>16530</v>
      </c>
      <c r="G5" s="13" t="n">
        <v>16721</v>
      </c>
      <c r="H5" s="13" t="n">
        <v>16437</v>
      </c>
      <c r="I5" s="13" t="n">
        <v>17153</v>
      </c>
      <c r="J5" s="13" t="n">
        <v>16298</v>
      </c>
      <c r="K5" s="13" t="n">
        <v>16872</v>
      </c>
    </row>
    <row r="6" customFormat="false" ht="15" hidden="false" customHeight="false" outlineLevel="0" collapsed="false">
      <c r="A6" s="12" t="n">
        <v>2017</v>
      </c>
      <c r="B6" s="13" t="n">
        <v>9157</v>
      </c>
      <c r="C6" s="13" t="n">
        <v>13656</v>
      </c>
      <c r="D6" s="13" t="n">
        <v>16036</v>
      </c>
      <c r="E6" s="13" t="n">
        <v>16347</v>
      </c>
      <c r="F6" s="13" t="n">
        <v>17573</v>
      </c>
      <c r="G6" s="13" t="n">
        <v>17452</v>
      </c>
      <c r="H6" s="13" t="n">
        <v>18967</v>
      </c>
      <c r="I6" s="13" t="n">
        <v>18986</v>
      </c>
      <c r="J6" s="13" t="n">
        <v>17984</v>
      </c>
      <c r="K6" s="6"/>
    </row>
    <row r="7" customFormat="false" ht="15" hidden="false" customHeight="false" outlineLevel="0" collapsed="false">
      <c r="A7" s="12" t="n">
        <v>2018</v>
      </c>
      <c r="B7" s="13" t="n">
        <v>11152</v>
      </c>
      <c r="C7" s="13" t="n">
        <v>15790</v>
      </c>
      <c r="D7" s="13" t="n">
        <v>17838</v>
      </c>
      <c r="E7" s="13" t="n">
        <v>20545</v>
      </c>
      <c r="F7" s="13" t="n">
        <v>21092</v>
      </c>
      <c r="G7" s="13" t="n">
        <v>22160</v>
      </c>
      <c r="H7" s="13" t="n">
        <v>21846</v>
      </c>
      <c r="I7" s="13" t="n">
        <v>20796</v>
      </c>
      <c r="J7" s="6"/>
      <c r="K7" s="6"/>
    </row>
    <row r="8" customFormat="false" ht="15" hidden="false" customHeight="false" outlineLevel="0" collapsed="false">
      <c r="A8" s="12" t="n">
        <v>2019</v>
      </c>
      <c r="B8" s="13" t="n">
        <v>10315</v>
      </c>
      <c r="C8" s="13" t="n">
        <v>14193</v>
      </c>
      <c r="D8" s="13" t="n">
        <v>18396</v>
      </c>
      <c r="E8" s="13" t="n">
        <v>19833</v>
      </c>
      <c r="F8" s="13" t="n">
        <v>20720</v>
      </c>
      <c r="G8" s="13" t="n">
        <v>20183</v>
      </c>
      <c r="H8" s="13" t="n">
        <v>19870</v>
      </c>
      <c r="I8" s="6"/>
      <c r="J8" s="6"/>
      <c r="K8" s="6"/>
    </row>
    <row r="9" customFormat="false" ht="15" hidden="false" customHeight="false" outlineLevel="0" collapsed="false">
      <c r="A9" s="12" t="n">
        <v>2020</v>
      </c>
      <c r="B9" s="13" t="n">
        <v>14736</v>
      </c>
      <c r="C9" s="13" t="n">
        <v>21065</v>
      </c>
      <c r="D9" s="13" t="n">
        <v>22867</v>
      </c>
      <c r="E9" s="13" t="n">
        <v>25807</v>
      </c>
      <c r="F9" s="13" t="n">
        <v>25953</v>
      </c>
      <c r="G9" s="13" t="n">
        <v>28557</v>
      </c>
      <c r="H9" s="6"/>
      <c r="I9" s="6"/>
      <c r="J9" s="6"/>
      <c r="K9" s="6"/>
    </row>
    <row r="10" customFormat="false" ht="15" hidden="false" customHeight="false" outlineLevel="0" collapsed="false">
      <c r="A10" s="12" t="n">
        <v>2021</v>
      </c>
      <c r="B10" s="13" t="n">
        <v>13140</v>
      </c>
      <c r="C10" s="13" t="n">
        <v>17500</v>
      </c>
      <c r="D10" s="13" t="n">
        <v>21450</v>
      </c>
      <c r="E10" s="13" t="n">
        <v>23412</v>
      </c>
      <c r="F10" s="13" t="n">
        <v>23873</v>
      </c>
      <c r="G10" s="6"/>
      <c r="H10" s="6"/>
      <c r="I10" s="6"/>
      <c r="J10" s="6"/>
      <c r="K10" s="6"/>
    </row>
    <row r="11" customFormat="false" ht="15" hidden="false" customHeight="false" outlineLevel="0" collapsed="false">
      <c r="A11" s="12" t="n">
        <v>2022</v>
      </c>
      <c r="B11" s="13" t="n">
        <v>16180</v>
      </c>
      <c r="C11" s="13" t="n">
        <v>21981</v>
      </c>
      <c r="D11" s="13" t="n">
        <v>25452</v>
      </c>
      <c r="E11" s="13" t="n">
        <v>28503</v>
      </c>
      <c r="F11" s="6"/>
      <c r="G11" s="6"/>
      <c r="H11" s="6"/>
      <c r="I11" s="6"/>
      <c r="J11" s="6"/>
      <c r="K11" s="6"/>
    </row>
    <row r="12" customFormat="false" ht="15" hidden="false" customHeight="false" outlineLevel="0" collapsed="false">
      <c r="A12" s="12" t="n">
        <v>2023</v>
      </c>
      <c r="B12" s="13" t="n">
        <v>19334</v>
      </c>
      <c r="C12" s="13" t="n">
        <v>26035</v>
      </c>
      <c r="D12" s="13" t="n">
        <v>31154</v>
      </c>
      <c r="E12" s="6"/>
      <c r="F12" s="6"/>
      <c r="G12" s="6"/>
      <c r="H12" s="6"/>
      <c r="I12" s="6"/>
      <c r="J12" s="6"/>
      <c r="K12" s="6"/>
    </row>
    <row r="13" customFormat="false" ht="15" hidden="false" customHeight="false" outlineLevel="0" collapsed="false">
      <c r="A13" s="12" t="n">
        <v>2024</v>
      </c>
      <c r="B13" s="13" t="n">
        <v>23194</v>
      </c>
      <c r="C13" s="13" t="n">
        <v>31852</v>
      </c>
      <c r="D13" s="6"/>
      <c r="E13" s="6"/>
      <c r="F13" s="6"/>
      <c r="G13" s="6"/>
      <c r="H13" s="6"/>
      <c r="I13" s="6"/>
      <c r="J13" s="6"/>
      <c r="K13" s="6"/>
    </row>
    <row r="14" customFormat="false" ht="15" hidden="false" customHeight="false" outlineLevel="0" collapsed="false">
      <c r="A14" s="12" t="n">
        <v>2025</v>
      </c>
      <c r="B14" s="13" t="n">
        <v>16397</v>
      </c>
      <c r="C14" s="6"/>
      <c r="D14" s="6"/>
      <c r="E14" s="6"/>
      <c r="F14" s="6"/>
      <c r="G14" s="6"/>
      <c r="H14" s="6"/>
      <c r="I14" s="6"/>
      <c r="J14" s="6"/>
      <c r="K14" s="6"/>
    </row>
    <row r="16" customFormat="false" ht="15" hidden="false" customHeight="false" outlineLevel="0" collapsed="false">
      <c r="A16" s="14" t="s">
        <v>263</v>
      </c>
      <c r="B16" s="15" t="n">
        <v>1.42035151682071</v>
      </c>
      <c r="C16" s="15" t="n">
        <v>1.17542008391737</v>
      </c>
      <c r="D16" s="15" t="n">
        <v>1.07749394674063</v>
      </c>
      <c r="E16" s="15" t="n">
        <v>1.04576171124295</v>
      </c>
      <c r="F16" s="15" t="n">
        <v>1.02776617436915</v>
      </c>
      <c r="G16" s="15" t="n">
        <v>1.00460229465193</v>
      </c>
      <c r="H16" s="15" t="n">
        <v>0.999404347689031</v>
      </c>
      <c r="I16" s="15" t="n">
        <v>0.994419861720181</v>
      </c>
      <c r="J16" s="15" t="n">
        <v>1.0046220591454</v>
      </c>
    </row>
    <row r="18" customFormat="false" ht="15" hidden="false" customHeight="false" outlineLevel="0" collapsed="false">
      <c r="A18" s="16" t="s">
        <v>264</v>
      </c>
      <c r="B18" s="17" t="s">
        <v>265</v>
      </c>
      <c r="C18" s="18" t="s">
        <v>266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8"/>
    <col collapsed="false" customWidth="true" hidden="false" outlineLevel="0" max="6" min="3" style="0" width="16"/>
    <col collapsed="false" customWidth="true" hidden="false" outlineLevel="0" max="7" min="7" style="0" width="55"/>
    <col collapsed="false" customWidth="true" hidden="false" outlineLevel="0" max="11" min="8" style="0" width="16"/>
    <col collapsed="false" customWidth="true" hidden="false" outlineLevel="0" max="12" min="12" style="0" width="40"/>
  </cols>
  <sheetData>
    <row r="1" customFormat="false" ht="17.35" hidden="false" customHeight="false" outlineLevel="0" collapsed="false">
      <c r="A1" s="1" t="s">
        <v>267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268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30" hidden="false" customHeight="true" outlineLevel="0" collapsed="false">
      <c r="A4" s="3" t="s">
        <v>2</v>
      </c>
      <c r="B4" s="3" t="s">
        <v>269</v>
      </c>
      <c r="C4" s="3" t="s">
        <v>270</v>
      </c>
      <c r="D4" s="3" t="s">
        <v>271</v>
      </c>
      <c r="E4" s="3" t="s">
        <v>272</v>
      </c>
      <c r="F4" s="3" t="s">
        <v>273</v>
      </c>
      <c r="G4" s="3" t="s">
        <v>274</v>
      </c>
      <c r="H4" s="3" t="s">
        <v>275</v>
      </c>
      <c r="I4" s="3" t="s">
        <v>15</v>
      </c>
      <c r="J4" s="3" t="s">
        <v>276</v>
      </c>
      <c r="K4" s="3" t="s">
        <v>277</v>
      </c>
      <c r="L4" s="3" t="s">
        <v>278</v>
      </c>
    </row>
    <row r="5" customFormat="false" ht="45" hidden="false" customHeight="true" outlineLevel="0" collapsed="false">
      <c r="A5" s="4" t="s">
        <v>279</v>
      </c>
      <c r="B5" s="19" t="s">
        <v>280</v>
      </c>
      <c r="C5" s="4" t="s">
        <v>281</v>
      </c>
      <c r="D5" s="4" t="n">
        <v>4</v>
      </c>
      <c r="E5" s="4" t="n">
        <v>5</v>
      </c>
      <c r="F5" s="20" t="n">
        <f aca="false">D5*E5</f>
        <v>20</v>
      </c>
      <c r="G5" s="19" t="s">
        <v>282</v>
      </c>
      <c r="H5" s="4" t="s">
        <v>283</v>
      </c>
      <c r="I5" s="4" t="s">
        <v>23</v>
      </c>
      <c r="J5" s="5" t="n">
        <v>44941</v>
      </c>
      <c r="K5" s="5" t="n">
        <v>46112</v>
      </c>
      <c r="L5" s="19" t="s">
        <v>284</v>
      </c>
    </row>
    <row r="6" customFormat="false" ht="45" hidden="false" customHeight="true" outlineLevel="0" collapsed="false">
      <c r="A6" s="4" t="s">
        <v>285</v>
      </c>
      <c r="B6" s="19" t="s">
        <v>286</v>
      </c>
      <c r="C6" s="4" t="s">
        <v>287</v>
      </c>
      <c r="D6" s="4" t="n">
        <v>3</v>
      </c>
      <c r="E6" s="4" t="n">
        <v>5</v>
      </c>
      <c r="F6" s="21" t="n">
        <f aca="false">D6*E6</f>
        <v>15</v>
      </c>
      <c r="G6" s="19" t="s">
        <v>288</v>
      </c>
      <c r="H6" s="4" t="s">
        <v>289</v>
      </c>
      <c r="I6" s="4" t="s">
        <v>23</v>
      </c>
      <c r="J6" s="5" t="n">
        <v>44713</v>
      </c>
      <c r="K6" s="5" t="n">
        <v>46112</v>
      </c>
      <c r="L6" s="19" t="s">
        <v>290</v>
      </c>
    </row>
    <row r="7" customFormat="false" ht="45" hidden="false" customHeight="true" outlineLevel="0" collapsed="false">
      <c r="A7" s="4" t="s">
        <v>291</v>
      </c>
      <c r="B7" s="19" t="s">
        <v>292</v>
      </c>
      <c r="C7" s="4" t="s">
        <v>293</v>
      </c>
      <c r="D7" s="4" t="n">
        <v>3</v>
      </c>
      <c r="E7" s="4" t="n">
        <v>4</v>
      </c>
      <c r="F7" s="21" t="n">
        <f aca="false">D7*E7</f>
        <v>12</v>
      </c>
      <c r="G7" s="19" t="s">
        <v>294</v>
      </c>
      <c r="H7" s="4" t="s">
        <v>295</v>
      </c>
      <c r="I7" s="4" t="s">
        <v>23</v>
      </c>
      <c r="J7" s="5" t="n">
        <v>44995</v>
      </c>
      <c r="K7" s="5" t="n">
        <v>46112</v>
      </c>
      <c r="L7" s="19" t="s">
        <v>296</v>
      </c>
    </row>
    <row r="8" customFormat="false" ht="45" hidden="false" customHeight="true" outlineLevel="0" collapsed="false">
      <c r="A8" s="4" t="s">
        <v>297</v>
      </c>
      <c r="B8" s="19" t="s">
        <v>298</v>
      </c>
      <c r="C8" s="4" t="s">
        <v>299</v>
      </c>
      <c r="D8" s="4" t="n">
        <v>2</v>
      </c>
      <c r="E8" s="4" t="n">
        <v>5</v>
      </c>
      <c r="F8" s="22" t="n">
        <f aca="false">D8*E8</f>
        <v>10</v>
      </c>
      <c r="G8" s="19" t="s">
        <v>300</v>
      </c>
      <c r="H8" s="4" t="s">
        <v>301</v>
      </c>
      <c r="I8" s="4" t="s">
        <v>23</v>
      </c>
      <c r="J8" s="5" t="n">
        <v>45127</v>
      </c>
      <c r="K8" s="5" t="n">
        <v>46112</v>
      </c>
      <c r="L8" s="19" t="s">
        <v>302</v>
      </c>
    </row>
    <row r="9" customFormat="false" ht="45" hidden="false" customHeight="true" outlineLevel="0" collapsed="false">
      <c r="A9" s="4" t="s">
        <v>303</v>
      </c>
      <c r="B9" s="19" t="s">
        <v>304</v>
      </c>
      <c r="C9" s="4" t="s">
        <v>305</v>
      </c>
      <c r="D9" s="4" t="n">
        <v>3</v>
      </c>
      <c r="E9" s="4" t="n">
        <v>4</v>
      </c>
      <c r="F9" s="21" t="n">
        <f aca="false">D9*E9</f>
        <v>12</v>
      </c>
      <c r="G9" s="19" t="s">
        <v>306</v>
      </c>
      <c r="H9" s="4" t="s">
        <v>307</v>
      </c>
      <c r="I9" s="4" t="s">
        <v>23</v>
      </c>
      <c r="J9" s="5" t="n">
        <v>45323</v>
      </c>
      <c r="K9" s="5" t="n">
        <v>46112</v>
      </c>
      <c r="L9" s="19" t="s">
        <v>308</v>
      </c>
    </row>
    <row r="10" customFormat="false" ht="45" hidden="false" customHeight="true" outlineLevel="0" collapsed="false">
      <c r="A10" s="4" t="s">
        <v>309</v>
      </c>
      <c r="B10" s="19" t="s">
        <v>310</v>
      </c>
      <c r="C10" s="4" t="s">
        <v>311</v>
      </c>
      <c r="D10" s="4" t="n">
        <v>3</v>
      </c>
      <c r="E10" s="4" t="n">
        <v>3</v>
      </c>
      <c r="F10" s="22" t="n">
        <f aca="false">D10*E10</f>
        <v>9</v>
      </c>
      <c r="G10" s="19" t="s">
        <v>312</v>
      </c>
      <c r="H10" s="4" t="s">
        <v>313</v>
      </c>
      <c r="I10" s="4" t="s">
        <v>23</v>
      </c>
      <c r="J10" s="5" t="n">
        <v>44819</v>
      </c>
      <c r="K10" s="5" t="n">
        <v>46203</v>
      </c>
      <c r="L10" s="19" t="s">
        <v>314</v>
      </c>
    </row>
    <row r="11" customFormat="false" ht="45" hidden="false" customHeight="true" outlineLevel="0" collapsed="false">
      <c r="A11" s="4" t="s">
        <v>315</v>
      </c>
      <c r="B11" s="19" t="s">
        <v>316</v>
      </c>
      <c r="C11" s="4" t="s">
        <v>317</v>
      </c>
      <c r="D11" s="4" t="n">
        <v>4</v>
      </c>
      <c r="E11" s="4" t="n">
        <v>3</v>
      </c>
      <c r="F11" s="21" t="n">
        <f aca="false">D11*E11</f>
        <v>12</v>
      </c>
      <c r="G11" s="19" t="s">
        <v>318</v>
      </c>
      <c r="H11" s="4" t="s">
        <v>319</v>
      </c>
      <c r="I11" s="4" t="s">
        <v>23</v>
      </c>
      <c r="J11" s="5" t="n">
        <v>44287</v>
      </c>
      <c r="K11" s="5" t="n">
        <v>46112</v>
      </c>
      <c r="L11" s="19" t="s">
        <v>320</v>
      </c>
    </row>
    <row r="12" customFormat="false" ht="45" hidden="false" customHeight="true" outlineLevel="0" collapsed="false">
      <c r="A12" s="4" t="s">
        <v>321</v>
      </c>
      <c r="B12" s="19" t="s">
        <v>322</v>
      </c>
      <c r="C12" s="4" t="s">
        <v>323</v>
      </c>
      <c r="D12" s="4" t="n">
        <v>2</v>
      </c>
      <c r="E12" s="4" t="n">
        <v>4</v>
      </c>
      <c r="F12" s="22" t="n">
        <f aca="false">D12*E12</f>
        <v>8</v>
      </c>
      <c r="G12" s="19" t="s">
        <v>324</v>
      </c>
      <c r="H12" s="4" t="s">
        <v>325</v>
      </c>
      <c r="I12" s="4" t="s">
        <v>23</v>
      </c>
      <c r="J12" s="5" t="n">
        <v>45444</v>
      </c>
      <c r="K12" s="5" t="n">
        <v>46203</v>
      </c>
      <c r="L12" s="19" t="s">
        <v>326</v>
      </c>
    </row>
    <row r="13" customFormat="false" ht="45" hidden="false" customHeight="true" outlineLevel="0" collapsed="false">
      <c r="A13" s="4" t="s">
        <v>327</v>
      </c>
      <c r="B13" s="19" t="s">
        <v>328</v>
      </c>
      <c r="C13" s="4" t="s">
        <v>329</v>
      </c>
      <c r="D13" s="4" t="n">
        <v>2</v>
      </c>
      <c r="E13" s="4" t="n">
        <v>3</v>
      </c>
      <c r="F13" s="22" t="n">
        <f aca="false">D13*E13</f>
        <v>6</v>
      </c>
      <c r="G13" s="19" t="s">
        <v>330</v>
      </c>
      <c r="H13" s="4" t="s">
        <v>331</v>
      </c>
      <c r="I13" s="4" t="s">
        <v>23</v>
      </c>
      <c r="J13" s="5" t="n">
        <v>44571</v>
      </c>
      <c r="K13" s="5" t="n">
        <v>46203</v>
      </c>
      <c r="L13" s="19" t="s">
        <v>332</v>
      </c>
    </row>
    <row r="14" customFormat="false" ht="45" hidden="false" customHeight="true" outlineLevel="0" collapsed="false">
      <c r="A14" s="4" t="s">
        <v>333</v>
      </c>
      <c r="B14" s="19" t="s">
        <v>334</v>
      </c>
      <c r="C14" s="4" t="s">
        <v>335</v>
      </c>
      <c r="D14" s="4" t="n">
        <v>3</v>
      </c>
      <c r="E14" s="4" t="n">
        <v>4</v>
      </c>
      <c r="F14" s="21" t="n">
        <f aca="false">D14*E14</f>
        <v>12</v>
      </c>
      <c r="G14" s="19" t="s">
        <v>336</v>
      </c>
      <c r="H14" s="4" t="s">
        <v>337</v>
      </c>
      <c r="I14" s="4" t="s">
        <v>23</v>
      </c>
      <c r="J14" s="5" t="n">
        <v>45536</v>
      </c>
      <c r="K14" s="5" t="n">
        <v>46112</v>
      </c>
      <c r="L14" s="19" t="s">
        <v>338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8" min="2" style="0" width="16"/>
  </cols>
  <sheetData>
    <row r="1" customFormat="false" ht="17.35" hidden="false" customHeight="false" outlineLevel="0" collapsed="false">
      <c r="A1" s="1" t="s">
        <v>339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340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5</v>
      </c>
      <c r="B4" s="3" t="s">
        <v>341</v>
      </c>
      <c r="C4" s="3" t="s">
        <v>342</v>
      </c>
      <c r="D4" s="3" t="s">
        <v>343</v>
      </c>
      <c r="E4" s="3" t="s">
        <v>344</v>
      </c>
      <c r="F4" s="3" t="s">
        <v>345</v>
      </c>
      <c r="G4" s="3" t="s">
        <v>346</v>
      </c>
      <c r="H4" s="3" t="s">
        <v>347</v>
      </c>
    </row>
    <row r="5" customFormat="false" ht="15" hidden="false" customHeight="false" outlineLevel="0" collapsed="false">
      <c r="A5" s="4" t="s">
        <v>19</v>
      </c>
      <c r="B5" s="23" t="n">
        <v>2020</v>
      </c>
      <c r="C5" s="6" t="n">
        <v>12500</v>
      </c>
      <c r="D5" s="6" t="n">
        <v>6800</v>
      </c>
      <c r="E5" s="7" t="n">
        <f aca="false">D5/C5</f>
        <v>0.544</v>
      </c>
      <c r="F5" s="7" t="n">
        <v>0.32</v>
      </c>
      <c r="G5" s="7" t="n">
        <f aca="false">E5+F5</f>
        <v>0.864</v>
      </c>
      <c r="H5" s="6" t="n">
        <f aca="false">C5*(1-G5)</f>
        <v>1700</v>
      </c>
    </row>
    <row r="6" customFormat="false" ht="15" hidden="false" customHeight="false" outlineLevel="0" collapsed="false">
      <c r="A6" s="4" t="s">
        <v>19</v>
      </c>
      <c r="B6" s="23" t="n">
        <v>2021</v>
      </c>
      <c r="C6" s="6" t="n">
        <v>13200</v>
      </c>
      <c r="D6" s="6" t="n">
        <v>7100</v>
      </c>
      <c r="E6" s="7" t="n">
        <f aca="false">D6/C6</f>
        <v>0.537878787878788</v>
      </c>
      <c r="F6" s="7" t="n">
        <v>0.32</v>
      </c>
      <c r="G6" s="7" t="n">
        <f aca="false">E6+F6</f>
        <v>0.857878787878788</v>
      </c>
      <c r="H6" s="6" t="n">
        <f aca="false">C6*(1-G6)</f>
        <v>1876</v>
      </c>
    </row>
    <row r="7" customFormat="false" ht="15" hidden="false" customHeight="false" outlineLevel="0" collapsed="false">
      <c r="A7" s="4" t="s">
        <v>19</v>
      </c>
      <c r="B7" s="23" t="n">
        <v>2022</v>
      </c>
      <c r="C7" s="6" t="n">
        <v>14100</v>
      </c>
      <c r="D7" s="6" t="n">
        <v>9800</v>
      </c>
      <c r="E7" s="7" t="n">
        <f aca="false">D7/C7</f>
        <v>0.695035460992908</v>
      </c>
      <c r="F7" s="7" t="n">
        <v>0.32</v>
      </c>
      <c r="G7" s="7" t="n">
        <f aca="false">E7+F7</f>
        <v>1.01503546099291</v>
      </c>
      <c r="H7" s="6" t="n">
        <f aca="false">C7*(1-G7)</f>
        <v>-211.999999999999</v>
      </c>
    </row>
    <row r="8" customFormat="false" ht="15" hidden="false" customHeight="false" outlineLevel="0" collapsed="false">
      <c r="A8" s="4" t="s">
        <v>19</v>
      </c>
      <c r="B8" s="23" t="n">
        <v>2023</v>
      </c>
      <c r="C8" s="6" t="n">
        <v>15800</v>
      </c>
      <c r="D8" s="6" t="n">
        <v>8200</v>
      </c>
      <c r="E8" s="7" t="n">
        <f aca="false">D8/C8</f>
        <v>0.518987341772152</v>
      </c>
      <c r="F8" s="7" t="n">
        <v>0.32</v>
      </c>
      <c r="G8" s="7" t="n">
        <f aca="false">E8+F8</f>
        <v>0.838987341772152</v>
      </c>
      <c r="H8" s="6" t="n">
        <f aca="false">C8*(1-G8)</f>
        <v>2544</v>
      </c>
    </row>
    <row r="9" customFormat="false" ht="15" hidden="false" customHeight="false" outlineLevel="0" collapsed="false">
      <c r="A9" s="4" t="s">
        <v>19</v>
      </c>
      <c r="B9" s="23" t="n">
        <v>2024</v>
      </c>
      <c r="C9" s="6" t="n">
        <v>17200</v>
      </c>
      <c r="D9" s="6" t="n">
        <v>7900</v>
      </c>
      <c r="E9" s="7" t="n">
        <f aca="false">D9/C9</f>
        <v>0.459302325581395</v>
      </c>
      <c r="F9" s="7" t="n">
        <v>0.32</v>
      </c>
      <c r="G9" s="7" t="n">
        <f aca="false">E9+F9</f>
        <v>0.779302325581395</v>
      </c>
      <c r="H9" s="6" t="n">
        <f aca="false">C9*(1-G9)</f>
        <v>3796</v>
      </c>
    </row>
    <row r="10" customFormat="false" ht="15" hidden="false" customHeight="false" outlineLevel="0" collapsed="false">
      <c r="A10" s="4" t="s">
        <v>19</v>
      </c>
      <c r="B10" s="23" t="n">
        <v>2025</v>
      </c>
      <c r="C10" s="6" t="n">
        <v>18500</v>
      </c>
      <c r="D10" s="6" t="n">
        <v>10200</v>
      </c>
      <c r="E10" s="7" t="n">
        <f aca="false">D10/C10</f>
        <v>0.551351351351351</v>
      </c>
      <c r="F10" s="7" t="n">
        <v>0.32</v>
      </c>
      <c r="G10" s="7" t="n">
        <f aca="false">E10+F10</f>
        <v>0.871351351351351</v>
      </c>
      <c r="H10" s="6" t="n">
        <f aca="false">C10*(1-G10)</f>
        <v>2380</v>
      </c>
    </row>
    <row r="11" customFormat="false" ht="15" hidden="false" customHeight="false" outlineLevel="0" collapsed="false">
      <c r="A11" s="4" t="s">
        <v>33</v>
      </c>
      <c r="B11" s="23" t="n">
        <v>2020</v>
      </c>
      <c r="C11" s="6" t="n">
        <v>28000</v>
      </c>
      <c r="D11" s="6" t="n">
        <v>14500</v>
      </c>
      <c r="E11" s="7" t="n">
        <f aca="false">D11/C11</f>
        <v>0.517857142857143</v>
      </c>
      <c r="F11" s="7" t="n">
        <v>0.32</v>
      </c>
      <c r="G11" s="7" t="n">
        <f aca="false">E11+F11</f>
        <v>0.837857142857143</v>
      </c>
      <c r="H11" s="6" t="n">
        <f aca="false">C11*(1-G11)</f>
        <v>4540</v>
      </c>
    </row>
    <row r="12" customFormat="false" ht="15" hidden="false" customHeight="false" outlineLevel="0" collapsed="false">
      <c r="A12" s="4" t="s">
        <v>33</v>
      </c>
      <c r="B12" s="23" t="n">
        <v>2021</v>
      </c>
      <c r="C12" s="6" t="n">
        <v>31000</v>
      </c>
      <c r="D12" s="6" t="n">
        <v>12800</v>
      </c>
      <c r="E12" s="7" t="n">
        <f aca="false">D12/C12</f>
        <v>0.412903225806452</v>
      </c>
      <c r="F12" s="7" t="n">
        <v>0.32</v>
      </c>
      <c r="G12" s="7" t="n">
        <f aca="false">E12+F12</f>
        <v>0.732903225806452</v>
      </c>
      <c r="H12" s="6" t="n">
        <f aca="false">C12*(1-G12)</f>
        <v>8280</v>
      </c>
    </row>
    <row r="13" customFormat="false" ht="15" hidden="false" customHeight="false" outlineLevel="0" collapsed="false">
      <c r="A13" s="4" t="s">
        <v>33</v>
      </c>
      <c r="B13" s="23" t="n">
        <v>2022</v>
      </c>
      <c r="C13" s="6" t="n">
        <v>34500</v>
      </c>
      <c r="D13" s="6" t="n">
        <v>22100</v>
      </c>
      <c r="E13" s="7" t="n">
        <f aca="false">D13/C13</f>
        <v>0.640579710144928</v>
      </c>
      <c r="F13" s="7" t="n">
        <v>0.32</v>
      </c>
      <c r="G13" s="7" t="n">
        <f aca="false">E13+F13</f>
        <v>0.960579710144928</v>
      </c>
      <c r="H13" s="6" t="n">
        <f aca="false">C13*(1-G13)</f>
        <v>1360</v>
      </c>
    </row>
    <row r="14" customFormat="false" ht="15" hidden="false" customHeight="false" outlineLevel="0" collapsed="false">
      <c r="A14" s="4" t="s">
        <v>33</v>
      </c>
      <c r="B14" s="23" t="n">
        <v>2023</v>
      </c>
      <c r="C14" s="6" t="n">
        <v>38200</v>
      </c>
      <c r="D14" s="6" t="n">
        <v>18900</v>
      </c>
      <c r="E14" s="7" t="n">
        <f aca="false">D14/C14</f>
        <v>0.494764397905759</v>
      </c>
      <c r="F14" s="7" t="n">
        <v>0.32</v>
      </c>
      <c r="G14" s="7" t="n">
        <f aca="false">E14+F14</f>
        <v>0.814764397905759</v>
      </c>
      <c r="H14" s="6" t="n">
        <f aca="false">C14*(1-G14)</f>
        <v>7076</v>
      </c>
    </row>
    <row r="15" customFormat="false" ht="15" hidden="false" customHeight="false" outlineLevel="0" collapsed="false">
      <c r="A15" s="4" t="s">
        <v>33</v>
      </c>
      <c r="B15" s="23" t="n">
        <v>2024</v>
      </c>
      <c r="C15" s="6" t="n">
        <v>42000</v>
      </c>
      <c r="D15" s="6" t="n">
        <v>16500</v>
      </c>
      <c r="E15" s="7" t="n">
        <f aca="false">D15/C15</f>
        <v>0.392857142857143</v>
      </c>
      <c r="F15" s="7" t="n">
        <v>0.32</v>
      </c>
      <c r="G15" s="7" t="n">
        <f aca="false">E15+F15</f>
        <v>0.712857142857143</v>
      </c>
      <c r="H15" s="6" t="n">
        <f aca="false">C15*(1-G15)</f>
        <v>12060</v>
      </c>
    </row>
    <row r="16" customFormat="false" ht="15" hidden="false" customHeight="false" outlineLevel="0" collapsed="false">
      <c r="A16" s="4" t="s">
        <v>33</v>
      </c>
      <c r="B16" s="23" t="n">
        <v>2025</v>
      </c>
      <c r="C16" s="6" t="n">
        <v>46800</v>
      </c>
      <c r="D16" s="6" t="n">
        <v>28700</v>
      </c>
      <c r="E16" s="7" t="n">
        <f aca="false">D16/C16</f>
        <v>0.613247863247863</v>
      </c>
      <c r="F16" s="7" t="n">
        <v>0.32</v>
      </c>
      <c r="G16" s="7" t="n">
        <f aca="false">E16+F16</f>
        <v>0.933247863247863</v>
      </c>
      <c r="H16" s="6" t="n">
        <f aca="false">C16*(1-G16)</f>
        <v>3124</v>
      </c>
    </row>
    <row r="17" customFormat="false" ht="15" hidden="false" customHeight="false" outlineLevel="0" collapsed="false">
      <c r="A17" s="4" t="s">
        <v>58</v>
      </c>
      <c r="B17" s="23" t="n">
        <v>2020</v>
      </c>
      <c r="C17" s="6" t="n">
        <v>8500</v>
      </c>
      <c r="D17" s="6" t="n">
        <v>5200</v>
      </c>
      <c r="E17" s="7" t="n">
        <f aca="false">D17/C17</f>
        <v>0.611764705882353</v>
      </c>
      <c r="F17" s="7" t="n">
        <v>0.32</v>
      </c>
      <c r="G17" s="7" t="n">
        <f aca="false">E17+F17</f>
        <v>0.931764705882353</v>
      </c>
      <c r="H17" s="6" t="n">
        <f aca="false">C17*(1-G17)</f>
        <v>579.999999999999</v>
      </c>
    </row>
    <row r="18" customFormat="false" ht="15" hidden="false" customHeight="false" outlineLevel="0" collapsed="false">
      <c r="A18" s="4" t="s">
        <v>58</v>
      </c>
      <c r="B18" s="23" t="n">
        <v>2021</v>
      </c>
      <c r="C18" s="6" t="n">
        <v>11200</v>
      </c>
      <c r="D18" s="6" t="n">
        <v>8900</v>
      </c>
      <c r="E18" s="7" t="n">
        <f aca="false">D18/C18</f>
        <v>0.794642857142857</v>
      </c>
      <c r="F18" s="7" t="n">
        <v>0.32</v>
      </c>
      <c r="G18" s="7" t="n">
        <f aca="false">E18+F18</f>
        <v>1.11464285714286</v>
      </c>
      <c r="H18" s="6" t="n">
        <f aca="false">C18*(1-G18)</f>
        <v>-1284</v>
      </c>
    </row>
    <row r="19" customFormat="false" ht="15" hidden="false" customHeight="false" outlineLevel="0" collapsed="false">
      <c r="A19" s="4" t="s">
        <v>58</v>
      </c>
      <c r="B19" s="23" t="n">
        <v>2022</v>
      </c>
      <c r="C19" s="6" t="n">
        <v>15800</v>
      </c>
      <c r="D19" s="6" t="n">
        <v>14200</v>
      </c>
      <c r="E19" s="7" t="n">
        <f aca="false">D19/C19</f>
        <v>0.89873417721519</v>
      </c>
      <c r="F19" s="7" t="n">
        <v>0.32</v>
      </c>
      <c r="G19" s="7" t="n">
        <f aca="false">E19+F19</f>
        <v>1.21873417721519</v>
      </c>
      <c r="H19" s="6" t="n">
        <f aca="false">C19*(1-G19)</f>
        <v>-3456</v>
      </c>
    </row>
    <row r="20" customFormat="false" ht="15" hidden="false" customHeight="false" outlineLevel="0" collapsed="false">
      <c r="A20" s="4" t="s">
        <v>58</v>
      </c>
      <c r="B20" s="23" t="n">
        <v>2023</v>
      </c>
      <c r="C20" s="6" t="n">
        <v>21000</v>
      </c>
      <c r="D20" s="6" t="n">
        <v>12600</v>
      </c>
      <c r="E20" s="7" t="n">
        <f aca="false">D20/C20</f>
        <v>0.6</v>
      </c>
      <c r="F20" s="7" t="n">
        <v>0.32</v>
      </c>
      <c r="G20" s="7" t="n">
        <f aca="false">E20+F20</f>
        <v>0.92</v>
      </c>
      <c r="H20" s="6" t="n">
        <f aca="false">C20*(1-G20)</f>
        <v>1680</v>
      </c>
    </row>
    <row r="21" customFormat="false" ht="15" hidden="false" customHeight="false" outlineLevel="0" collapsed="false">
      <c r="A21" s="4" t="s">
        <v>58</v>
      </c>
      <c r="B21" s="23" t="n">
        <v>2024</v>
      </c>
      <c r="C21" s="6" t="n">
        <v>28500</v>
      </c>
      <c r="D21" s="6" t="n">
        <v>15800</v>
      </c>
      <c r="E21" s="7" t="n">
        <f aca="false">D21/C21</f>
        <v>0.554385964912281</v>
      </c>
      <c r="F21" s="7" t="n">
        <v>0.32</v>
      </c>
      <c r="G21" s="7" t="n">
        <f aca="false">E21+F21</f>
        <v>0.874385964912281</v>
      </c>
      <c r="H21" s="6" t="n">
        <f aca="false">C21*(1-G21)</f>
        <v>3580</v>
      </c>
    </row>
    <row r="22" customFormat="false" ht="15" hidden="false" customHeight="false" outlineLevel="0" collapsed="false">
      <c r="A22" s="4" t="s">
        <v>58</v>
      </c>
      <c r="B22" s="23" t="n">
        <v>2025</v>
      </c>
      <c r="C22" s="6" t="n">
        <v>35000</v>
      </c>
      <c r="D22" s="6" t="n">
        <v>24100</v>
      </c>
      <c r="E22" s="7" t="n">
        <f aca="false">D22/C22</f>
        <v>0.688571428571429</v>
      </c>
      <c r="F22" s="7" t="n">
        <v>0.32</v>
      </c>
      <c r="G22" s="7" t="n">
        <f aca="false">E22+F22</f>
        <v>1.00857142857143</v>
      </c>
      <c r="H22" s="6" t="n">
        <f aca="false">C22*(1-G22)</f>
        <v>-300.000000000004</v>
      </c>
    </row>
    <row r="23" customFormat="false" ht="15" hidden="false" customHeight="false" outlineLevel="0" collapsed="false">
      <c r="A23" s="4" t="s">
        <v>54</v>
      </c>
      <c r="B23" s="23" t="n">
        <v>2020</v>
      </c>
      <c r="C23" s="6" t="n">
        <v>6200</v>
      </c>
      <c r="D23" s="6" t="n">
        <v>2800</v>
      </c>
      <c r="E23" s="7" t="n">
        <f aca="false">D23/C23</f>
        <v>0.451612903225806</v>
      </c>
      <c r="F23" s="7" t="n">
        <v>0.32</v>
      </c>
      <c r="G23" s="7" t="n">
        <f aca="false">E23+F23</f>
        <v>0.771612903225806</v>
      </c>
      <c r="H23" s="6" t="n">
        <f aca="false">C23*(1-G23)</f>
        <v>1416</v>
      </c>
    </row>
    <row r="24" customFormat="false" ht="15" hidden="false" customHeight="false" outlineLevel="0" collapsed="false">
      <c r="A24" s="4" t="s">
        <v>54</v>
      </c>
      <c r="B24" s="23" t="n">
        <v>2021</v>
      </c>
      <c r="C24" s="6" t="n">
        <v>6800</v>
      </c>
      <c r="D24" s="6" t="n">
        <v>3100</v>
      </c>
      <c r="E24" s="7" t="n">
        <f aca="false">D24/C24</f>
        <v>0.455882352941176</v>
      </c>
      <c r="F24" s="7" t="n">
        <v>0.32</v>
      </c>
      <c r="G24" s="7" t="n">
        <f aca="false">E24+F24</f>
        <v>0.775882352941177</v>
      </c>
      <c r="H24" s="6" t="n">
        <f aca="false">C24*(1-G24)</f>
        <v>1524</v>
      </c>
    </row>
    <row r="25" customFormat="false" ht="15" hidden="false" customHeight="false" outlineLevel="0" collapsed="false">
      <c r="A25" s="4" t="s">
        <v>54</v>
      </c>
      <c r="B25" s="23" t="n">
        <v>2022</v>
      </c>
      <c r="C25" s="6" t="n">
        <v>7500</v>
      </c>
      <c r="D25" s="6" t="n">
        <v>4200</v>
      </c>
      <c r="E25" s="7" t="n">
        <f aca="false">D25/C25</f>
        <v>0.56</v>
      </c>
      <c r="F25" s="7" t="n">
        <v>0.32</v>
      </c>
      <c r="G25" s="7" t="n">
        <f aca="false">E25+F25</f>
        <v>0.88</v>
      </c>
      <c r="H25" s="6" t="n">
        <f aca="false">C25*(1-G25)</f>
        <v>899.999999999999</v>
      </c>
    </row>
    <row r="26" customFormat="false" ht="15" hidden="false" customHeight="false" outlineLevel="0" collapsed="false">
      <c r="A26" s="4" t="s">
        <v>54</v>
      </c>
      <c r="B26" s="23" t="n">
        <v>2023</v>
      </c>
      <c r="C26" s="6" t="n">
        <v>8200</v>
      </c>
      <c r="D26" s="6" t="n">
        <v>3800</v>
      </c>
      <c r="E26" s="7" t="n">
        <f aca="false">D26/C26</f>
        <v>0.463414634146342</v>
      </c>
      <c r="F26" s="7" t="n">
        <v>0.32</v>
      </c>
      <c r="G26" s="7" t="n">
        <f aca="false">E26+F26</f>
        <v>0.783414634146342</v>
      </c>
      <c r="H26" s="6" t="n">
        <f aca="false">C26*(1-G26)</f>
        <v>1776</v>
      </c>
    </row>
    <row r="27" customFormat="false" ht="15" hidden="false" customHeight="false" outlineLevel="0" collapsed="false">
      <c r="A27" s="4" t="s">
        <v>54</v>
      </c>
      <c r="B27" s="23" t="n">
        <v>2024</v>
      </c>
      <c r="C27" s="6" t="n">
        <v>9000</v>
      </c>
      <c r="D27" s="6" t="n">
        <v>4500</v>
      </c>
      <c r="E27" s="7" t="n">
        <f aca="false">D27/C27</f>
        <v>0.5</v>
      </c>
      <c r="F27" s="7" t="n">
        <v>0.32</v>
      </c>
      <c r="G27" s="7" t="n">
        <f aca="false">E27+F27</f>
        <v>0.82</v>
      </c>
      <c r="H27" s="6" t="n">
        <f aca="false">C27*(1-G27)</f>
        <v>1620</v>
      </c>
    </row>
    <row r="28" customFormat="false" ht="15" hidden="false" customHeight="false" outlineLevel="0" collapsed="false">
      <c r="A28" s="4" t="s">
        <v>54</v>
      </c>
      <c r="B28" s="23" t="n">
        <v>2025</v>
      </c>
      <c r="C28" s="6" t="n">
        <v>9800</v>
      </c>
      <c r="D28" s="6" t="n">
        <v>5100</v>
      </c>
      <c r="E28" s="7" t="n">
        <f aca="false">D28/C28</f>
        <v>0.520408163265306</v>
      </c>
      <c r="F28" s="7" t="n">
        <v>0.32</v>
      </c>
      <c r="G28" s="7" t="n">
        <f aca="false">E28+F28</f>
        <v>0.840408163265306</v>
      </c>
      <c r="H28" s="6" t="n">
        <f aca="false">C28*(1-G28)</f>
        <v>1564</v>
      </c>
    </row>
    <row r="29" customFormat="false" ht="15" hidden="false" customHeight="false" outlineLevel="0" collapsed="false">
      <c r="A29" s="4" t="s">
        <v>64</v>
      </c>
      <c r="B29" s="23" t="n">
        <v>2020</v>
      </c>
      <c r="C29" s="6" t="n">
        <v>9500</v>
      </c>
      <c r="D29" s="6" t="n">
        <v>4200</v>
      </c>
      <c r="E29" s="7" t="n">
        <f aca="false">D29/C29</f>
        <v>0.442105263157895</v>
      </c>
      <c r="F29" s="7" t="n">
        <v>0.32</v>
      </c>
      <c r="G29" s="7" t="n">
        <f aca="false">E29+F29</f>
        <v>0.762105263157895</v>
      </c>
      <c r="H29" s="6" t="n">
        <f aca="false">C29*(1-G29)</f>
        <v>2260</v>
      </c>
    </row>
    <row r="30" customFormat="false" ht="15" hidden="false" customHeight="false" outlineLevel="0" collapsed="false">
      <c r="A30" s="4" t="s">
        <v>64</v>
      </c>
      <c r="B30" s="23" t="n">
        <v>2021</v>
      </c>
      <c r="C30" s="6" t="n">
        <v>10800</v>
      </c>
      <c r="D30" s="6" t="n">
        <v>3800</v>
      </c>
      <c r="E30" s="7" t="n">
        <f aca="false">D30/C30</f>
        <v>0.351851851851852</v>
      </c>
      <c r="F30" s="7" t="n">
        <v>0.32</v>
      </c>
      <c r="G30" s="7" t="n">
        <f aca="false">E30+F30</f>
        <v>0.671851851851852</v>
      </c>
      <c r="H30" s="6" t="n">
        <f aca="false">C30*(1-G30)</f>
        <v>3544</v>
      </c>
    </row>
    <row r="31" customFormat="false" ht="15" hidden="false" customHeight="false" outlineLevel="0" collapsed="false">
      <c r="A31" s="4" t="s">
        <v>64</v>
      </c>
      <c r="B31" s="23" t="n">
        <v>2022</v>
      </c>
      <c r="C31" s="6" t="n">
        <v>12200</v>
      </c>
      <c r="D31" s="6" t="n">
        <v>8900</v>
      </c>
      <c r="E31" s="7" t="n">
        <f aca="false">D31/C31</f>
        <v>0.729508196721312</v>
      </c>
      <c r="F31" s="7" t="n">
        <v>0.32</v>
      </c>
      <c r="G31" s="7" t="n">
        <f aca="false">E31+F31</f>
        <v>1.04950819672131</v>
      </c>
      <c r="H31" s="6" t="n">
        <f aca="false">C31*(1-G31)</f>
        <v>-604.000000000001</v>
      </c>
    </row>
    <row r="32" customFormat="false" ht="15" hidden="false" customHeight="false" outlineLevel="0" collapsed="false">
      <c r="A32" s="4" t="s">
        <v>64</v>
      </c>
      <c r="B32" s="23" t="n">
        <v>2023</v>
      </c>
      <c r="C32" s="6" t="n">
        <v>13500</v>
      </c>
      <c r="D32" s="6" t="n">
        <v>6200</v>
      </c>
      <c r="E32" s="7" t="n">
        <f aca="false">D32/C32</f>
        <v>0.459259259259259</v>
      </c>
      <c r="F32" s="7" t="n">
        <v>0.32</v>
      </c>
      <c r="G32" s="7" t="n">
        <f aca="false">E32+F32</f>
        <v>0.779259259259259</v>
      </c>
      <c r="H32" s="6" t="n">
        <f aca="false">C32*(1-G32)</f>
        <v>2980</v>
      </c>
    </row>
    <row r="33" customFormat="false" ht="15" hidden="false" customHeight="false" outlineLevel="0" collapsed="false">
      <c r="A33" s="4" t="s">
        <v>64</v>
      </c>
      <c r="B33" s="23" t="n">
        <v>2024</v>
      </c>
      <c r="C33" s="6" t="n">
        <v>15000</v>
      </c>
      <c r="D33" s="6" t="n">
        <v>7800</v>
      </c>
      <c r="E33" s="7" t="n">
        <f aca="false">D33/C33</f>
        <v>0.52</v>
      </c>
      <c r="F33" s="7" t="n">
        <v>0.32</v>
      </c>
      <c r="G33" s="7" t="n">
        <f aca="false">E33+F33</f>
        <v>0.84</v>
      </c>
      <c r="H33" s="6" t="n">
        <f aca="false">C33*(1-G33)</f>
        <v>2400</v>
      </c>
    </row>
    <row r="34" customFormat="false" ht="15" hidden="false" customHeight="false" outlineLevel="0" collapsed="false">
      <c r="A34" s="4" t="s">
        <v>64</v>
      </c>
      <c r="B34" s="23" t="n">
        <v>2025</v>
      </c>
      <c r="C34" s="6" t="n">
        <v>16500</v>
      </c>
      <c r="D34" s="6" t="n">
        <v>11800</v>
      </c>
      <c r="E34" s="7" t="n">
        <f aca="false">D34/C34</f>
        <v>0.715151515151515</v>
      </c>
      <c r="F34" s="7" t="n">
        <v>0.32</v>
      </c>
      <c r="G34" s="7" t="n">
        <f aca="false">E34+F34</f>
        <v>1.03515151515152</v>
      </c>
      <c r="H34" s="6" t="n">
        <f aca="false">C34*(1-G34)</f>
        <v>-580</v>
      </c>
    </row>
    <row r="35" customFormat="false" ht="15" hidden="false" customHeight="false" outlineLevel="0" collapsed="false">
      <c r="A35" s="8" t="s">
        <v>348</v>
      </c>
      <c r="C35" s="24" t="n">
        <f aca="false">SUM(C5:C34)</f>
        <v>556800</v>
      </c>
      <c r="D35" s="24" t="n">
        <f aca="false">SUM(D5:D34)</f>
        <v>310500</v>
      </c>
      <c r="E35" s="25" t="n">
        <f aca="false">D35/C35</f>
        <v>0.557650862068966</v>
      </c>
      <c r="H35" s="24" t="n">
        <f aca="false">SUM(H5:H34)</f>
        <v>68124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2026-02-09T08:35:04Z</dcterms:created>
  <dc:creator>openpyxl</dc:creator>
  <dc:description/>
  <dc:language>en-US</dc:language>
  <cp:lastModifiedBy/>
  <dcterms:modified xsi:type="dcterms:W3CDTF">2026-02-09T08:35:04Z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