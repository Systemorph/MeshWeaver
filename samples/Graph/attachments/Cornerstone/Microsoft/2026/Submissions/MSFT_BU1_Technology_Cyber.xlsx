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um Bordereaux" sheetId="1" state="visible" r:id="rId3"/>
    <sheet name="Claims Bordereaux" sheetId="2" state="visible" r:id="rId4"/>
    <sheet name="SOV" sheetId="3" state="visible" r:id="rId5"/>
    <sheet name="Loss Triangle" sheetId="4" state="visible" r:id="rId6"/>
    <sheet name="Risk Register" sheetId="5" state="visible" r:id="rId7"/>
    <sheet name="Loss Ratio Summary" sheetId="6" state="visible" r:id="rId8"/>
    <sheet name="Reserving" sheetId="7" state="visible" r:id="rId9"/>
    <sheet name="Profitability Analysis" sheetId="8" state="visible" r:id="rId10"/>
    <sheet name="Premium System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<sst xmlns="http://schemas.openxmlformats.org/spreadsheetml/2006/main" count="872" uniqueCount="514">
  <si>
    <t xml:space="preserve">PREMIUM BORDEREAU — Q4 2025</t>
  </si>
  <si>
    <t xml:space="preserve">Ceding Company: Zurich Insurance Group  |  Reinsurer: Swiss Re  |  Treaty: QS-2025-MSFT-001  |  Reporting Period: Oct–Dec 2025</t>
  </si>
  <si>
    <t xml:space="preserve">Risk ID</t>
  </si>
  <si>
    <t xml:space="preserve">Insured Name</t>
  </si>
  <si>
    <t xml:space="preserve">Policy Number</t>
  </si>
  <si>
    <t xml:space="preserve">Line of Business</t>
  </si>
  <si>
    <t xml:space="preserve">Inception Date</t>
  </si>
  <si>
    <t xml:space="preserve">Expiry Date</t>
  </si>
  <si>
    <t xml:space="preserve">Location</t>
  </si>
  <si>
    <t xml:space="preserve">Currency</t>
  </si>
  <si>
    <t xml:space="preserve">Sum Insured (000s)</t>
  </si>
  <si>
    <t xml:space="preserve">Gross Premium</t>
  </si>
  <si>
    <t xml:space="preserve">Cession %</t>
  </si>
  <si>
    <t xml:space="preserve">Ceded Premium</t>
  </si>
  <si>
    <t xml:space="preserve">Broker</t>
  </si>
  <si>
    <t xml:space="preserve">Status</t>
  </si>
  <si>
    <t xml:space="preserve">MSFT-PROP-2025001</t>
  </si>
  <si>
    <t xml:space="preserve">Microsoft Corporation</t>
  </si>
  <si>
    <t xml:space="preserve">ZIG-770487</t>
  </si>
  <si>
    <t xml:space="preserve">Property</t>
  </si>
  <si>
    <t xml:space="preserve">Redmond, WA, US</t>
  </si>
  <si>
    <t xml:space="preserve">USD</t>
  </si>
  <si>
    <t xml:space="preserve">Marsh</t>
  </si>
  <si>
    <t xml:space="preserve">Active</t>
  </si>
  <si>
    <t xml:space="preserve">MSFT-PROP-2025002</t>
  </si>
  <si>
    <t xml:space="preserve">ZIG-246316</t>
  </si>
  <si>
    <t xml:space="preserve">Dublin, Ireland</t>
  </si>
  <si>
    <t xml:space="preserve">Guy Carpenter</t>
  </si>
  <si>
    <t xml:space="preserve">MSFT-PROP-2025003</t>
  </si>
  <si>
    <t xml:space="preserve">ZIG-133326</t>
  </si>
  <si>
    <t xml:space="preserve">Hyderabad, India</t>
  </si>
  <si>
    <t xml:space="preserve">MSFT-DC-PROP-2025004</t>
  </si>
  <si>
    <t xml:space="preserve">ZIG-850800</t>
  </si>
  <si>
    <t xml:space="preserve">Data Center</t>
  </si>
  <si>
    <t xml:space="preserve">Quincy, WA, US</t>
  </si>
  <si>
    <t xml:space="preserve">Aon</t>
  </si>
  <si>
    <t xml:space="preserve">MSFT-DC-PROP-2025005</t>
  </si>
  <si>
    <t xml:space="preserve">ZIG-895667</t>
  </si>
  <si>
    <t xml:space="preserve">San Antonio, TX, US</t>
  </si>
  <si>
    <t xml:space="preserve">MSFT-DC-PROP-2025006</t>
  </si>
  <si>
    <t xml:space="preserve">ZIG-325772</t>
  </si>
  <si>
    <t xml:space="preserve">Boydton, VA, US</t>
  </si>
  <si>
    <t xml:space="preserve">Willis Towers Watson</t>
  </si>
  <si>
    <t xml:space="preserve">MSFT-DC-PROP-2025007</t>
  </si>
  <si>
    <t xml:space="preserve">ZIG-988662</t>
  </si>
  <si>
    <t xml:space="preserve">Des Moines, IA, US</t>
  </si>
  <si>
    <t xml:space="preserve">MSFT-PROP-2025008</t>
  </si>
  <si>
    <t xml:space="preserve">ZIG-662275</t>
  </si>
  <si>
    <t xml:space="preserve">Amsterdam, NL</t>
  </si>
  <si>
    <t xml:space="preserve">MSFT-PROP-2025009</t>
  </si>
  <si>
    <t xml:space="preserve">ZIG-705397</t>
  </si>
  <si>
    <t xml:space="preserve">Singapore</t>
  </si>
  <si>
    <t xml:space="preserve">MSFT-D&amp;O-2025010</t>
  </si>
  <si>
    <t xml:space="preserve">ZIG-183667</t>
  </si>
  <si>
    <t xml:space="preserve">D&amp;O</t>
  </si>
  <si>
    <t xml:space="preserve">London, UK</t>
  </si>
  <si>
    <t xml:space="preserve">MSFT-CYBER-2025011</t>
  </si>
  <si>
    <t xml:space="preserve">ZIG-766563</t>
  </si>
  <si>
    <t xml:space="preserve">Cyber</t>
  </si>
  <si>
    <t xml:space="preserve">Mountain View, CA, US</t>
  </si>
  <si>
    <t xml:space="preserve">MSFT-CYBER-2025012</t>
  </si>
  <si>
    <t xml:space="preserve">ZIG-835911</t>
  </si>
  <si>
    <t xml:space="preserve">MSFT-BI-2025013</t>
  </si>
  <si>
    <t xml:space="preserve">ZIG-584714</t>
  </si>
  <si>
    <t xml:space="preserve">Business Interruption</t>
  </si>
  <si>
    <t xml:space="preserve">Puget Sound, WA, US</t>
  </si>
  <si>
    <t xml:space="preserve">MSFT-DC-PROP-2025014</t>
  </si>
  <si>
    <t xml:space="preserve">ZIG-983794</t>
  </si>
  <si>
    <t xml:space="preserve">Phoenix, AZ, US</t>
  </si>
  <si>
    <t xml:space="preserve">MSFT-DC-PROP-2025015</t>
  </si>
  <si>
    <t xml:space="preserve">ZIG-380746</t>
  </si>
  <si>
    <t xml:space="preserve">Chicago, IL, US</t>
  </si>
  <si>
    <t xml:space="preserve">MSFT-PROP-2025016</t>
  </si>
  <si>
    <t xml:space="preserve">ZIG-787277</t>
  </si>
  <si>
    <t xml:space="preserve">Sydney, AU</t>
  </si>
  <si>
    <t xml:space="preserve">MSFT-PROP-2025017</t>
  </si>
  <si>
    <t xml:space="preserve">ZIG-377746</t>
  </si>
  <si>
    <t xml:space="preserve">Tokyo, JP</t>
  </si>
  <si>
    <t xml:space="preserve">MSFT-PROP-2025018</t>
  </si>
  <si>
    <t xml:space="preserve">ZIG-711878</t>
  </si>
  <si>
    <t xml:space="preserve">Beijing, CN</t>
  </si>
  <si>
    <t xml:space="preserve">MSFT-PROP-2025019</t>
  </si>
  <si>
    <t xml:space="preserve">ZIG-195325</t>
  </si>
  <si>
    <t xml:space="preserve">São Paulo, BR</t>
  </si>
  <si>
    <t xml:space="preserve">MSFT-CYBER-2025020</t>
  </si>
  <si>
    <t xml:space="preserve">ZIG-725380</t>
  </si>
  <si>
    <t xml:space="preserve">Tel Aviv, IL</t>
  </si>
  <si>
    <t xml:space="preserve">TOTALS</t>
  </si>
  <si>
    <t xml:space="preserve">CLAIMS BORDEREAU — Q4 2025</t>
  </si>
  <si>
    <t xml:space="preserve">Ceding Company: Zurich Insurance Group  |  Reinsurer: Swiss Re  |  Treaty: QS-2025-MSFT-001</t>
  </si>
  <si>
    <t xml:space="preserve">Claim ID</t>
  </si>
  <si>
    <t xml:space="preserve">Insured</t>
  </si>
  <si>
    <t xml:space="preserve">Claimant</t>
  </si>
  <si>
    <t xml:space="preserve">Policy No.</t>
  </si>
  <si>
    <t xml:space="preserve">Date of Loss</t>
  </si>
  <si>
    <t xml:space="preserve">Date Reported</t>
  </si>
  <si>
    <t xml:space="preserve">Cause of Loss</t>
  </si>
  <si>
    <t xml:space="preserve">Paid Loss</t>
  </si>
  <si>
    <t xml:space="preserve">Paid Expense</t>
  </si>
  <si>
    <t xml:space="preserve">Case Reserve</t>
  </si>
  <si>
    <t xml:space="preserve">Incurred Total</t>
  </si>
  <si>
    <t xml:space="preserve">CLM-2025-0041</t>
  </si>
  <si>
    <t xml:space="preserve">N/A</t>
  </si>
  <si>
    <t xml:space="preserve">ZIG-334521</t>
  </si>
  <si>
    <t xml:space="preserve">Cooling system failure — server damage</t>
  </si>
  <si>
    <t xml:space="preserve">Open</t>
  </si>
  <si>
    <t xml:space="preserve">CLM-2025-0042</t>
  </si>
  <si>
    <t xml:space="preserve">Various — class action</t>
  </si>
  <si>
    <t xml:space="preserve">ZIG-887234</t>
  </si>
  <si>
    <t xml:space="preserve">Data breach — customer PII exposure</t>
  </si>
  <si>
    <t xml:space="preserve">CLM-2025-0043</t>
  </si>
  <si>
    <t xml:space="preserve">ZIG-441298</t>
  </si>
  <si>
    <t xml:space="preserve">Storm damage — roof &amp; facade</t>
  </si>
  <si>
    <t xml:space="preserve">CLM-2025-0044</t>
  </si>
  <si>
    <t xml:space="preserve">ZIG-552176</t>
  </si>
  <si>
    <t xml:space="preserve">Electrical fire — UPS room</t>
  </si>
  <si>
    <t xml:space="preserve">CLM-2025-0045</t>
  </si>
  <si>
    <t xml:space="preserve">ZIG-663891</t>
  </si>
  <si>
    <t xml:space="preserve">BI consequential to CLM-2025-0041</t>
  </si>
  <si>
    <t xml:space="preserve">CLM-2025-0046</t>
  </si>
  <si>
    <t xml:space="preserve">ZIG-774512</t>
  </si>
  <si>
    <t xml:space="preserve">Water damage — burst pipe</t>
  </si>
  <si>
    <t xml:space="preserve">Closed</t>
  </si>
  <si>
    <t xml:space="preserve">CLM-2025-0047</t>
  </si>
  <si>
    <t xml:space="preserve">RegulatorFine Co.</t>
  </si>
  <si>
    <t xml:space="preserve">Regulatory fine — GDPR non-compliance</t>
  </si>
  <si>
    <t xml:space="preserve">CLM-2025-0048</t>
  </si>
  <si>
    <t xml:space="preserve">ZIG-885443</t>
  </si>
  <si>
    <t xml:space="preserve">Generator malfunction during outage</t>
  </si>
  <si>
    <t xml:space="preserve">STATEMENT OF VALUES (SOV) — Microsoft Corporation — Renewal 2026</t>
  </si>
  <si>
    <t xml:space="preserve">Prepared for: Zurich Insurance Group  |  Broker: Marsh  |  Valuation Date: 2025-12-31  |  All values in USD (000s)</t>
  </si>
  <si>
    <t xml:space="preserve">Loc #</t>
  </si>
  <si>
    <t xml:space="preserve">Location Name</t>
  </si>
  <si>
    <t xml:space="preserve">Address</t>
  </si>
  <si>
    <t xml:space="preserve">City</t>
  </si>
  <si>
    <t xml:space="preserve">State/Province</t>
  </si>
  <si>
    <t xml:space="preserve">Country</t>
  </si>
  <si>
    <t xml:space="preserve">ZIP/Postal</t>
  </si>
  <si>
    <t xml:space="preserve">Construction</t>
  </si>
  <si>
    <t xml:space="preserve">Stories</t>
  </si>
  <si>
    <t xml:space="preserve">Year Built</t>
  </si>
  <si>
    <t xml:space="preserve">Occupancy</t>
  </si>
  <si>
    <t xml:space="preserve">Sprinklered</t>
  </si>
  <si>
    <t xml:space="preserve">Building Value</t>
  </si>
  <si>
    <t xml:space="preserve">Contents Value</t>
  </si>
  <si>
    <t xml:space="preserve">BI Value</t>
  </si>
  <si>
    <t xml:space="preserve">TIV</t>
  </si>
  <si>
    <t xml:space="preserve">CAT Zone (EQ)</t>
  </si>
  <si>
    <t xml:space="preserve">CAT Zone (Wind)</t>
  </si>
  <si>
    <t xml:space="preserve">Microsoft Campus — Building 92</t>
  </si>
  <si>
    <t xml:space="preserve">One Microsoft Way</t>
  </si>
  <si>
    <t xml:space="preserve">Redmond</t>
  </si>
  <si>
    <t xml:space="preserve">WA</t>
  </si>
  <si>
    <t xml:space="preserve">US</t>
  </si>
  <si>
    <t xml:space="preserve">98052</t>
  </si>
  <si>
    <t xml:space="preserve">Fire Resistive</t>
  </si>
  <si>
    <t xml:space="preserve">Office/HQ</t>
  </si>
  <si>
    <t xml:space="preserve">Yes</t>
  </si>
  <si>
    <t xml:space="preserve">Zone 3</t>
  </si>
  <si>
    <t xml:space="preserve">Zone 1</t>
  </si>
  <si>
    <t xml:space="preserve">Microsoft Campus — Building 34</t>
  </si>
  <si>
    <t xml:space="preserve">156th Ave NE</t>
  </si>
  <si>
    <t xml:space="preserve">Office/R&amp;D</t>
  </si>
  <si>
    <t xml:space="preserve">Microsoft Campus — Building 50</t>
  </si>
  <si>
    <t xml:space="preserve">15255 NE 40th St</t>
  </si>
  <si>
    <t xml:space="preserve">Office/Mixed</t>
  </si>
  <si>
    <t xml:space="preserve">Quincy Data Center</t>
  </si>
  <si>
    <t xml:space="preserve">1234 Grant Rd</t>
  </si>
  <si>
    <t xml:space="preserve">Quincy</t>
  </si>
  <si>
    <t xml:space="preserve">98848</t>
  </si>
  <si>
    <t xml:space="preserve">Non-Combustible</t>
  </si>
  <si>
    <t xml:space="preserve">Zone 2</t>
  </si>
  <si>
    <t xml:space="preserve">San Antonio Data Center</t>
  </si>
  <si>
    <t xml:space="preserve">5678 Westover Hills</t>
  </si>
  <si>
    <t xml:space="preserve">San Antonio</t>
  </si>
  <si>
    <t xml:space="preserve">TX</t>
  </si>
  <si>
    <t xml:space="preserve">78251</t>
  </si>
  <si>
    <t xml:space="preserve">Boydton Data Center</t>
  </si>
  <si>
    <t xml:space="preserve">9012 US-58</t>
  </si>
  <si>
    <t xml:space="preserve">Boydton</t>
  </si>
  <si>
    <t xml:space="preserve">VA</t>
  </si>
  <si>
    <t xml:space="preserve">23917</t>
  </si>
  <si>
    <t xml:space="preserve">Des Moines Data Center</t>
  </si>
  <si>
    <t xml:space="preserve">3456 NW Urbandale Dr</t>
  </si>
  <si>
    <t xml:space="preserve">West Des Moines</t>
  </si>
  <si>
    <t xml:space="preserve">IA</t>
  </si>
  <si>
    <t xml:space="preserve">50266</t>
  </si>
  <si>
    <t xml:space="preserve">Phoenix Data Center</t>
  </si>
  <si>
    <t xml:space="preserve">7890 S Price Rd</t>
  </si>
  <si>
    <t xml:space="preserve">Chandler</t>
  </si>
  <si>
    <t xml:space="preserve">AZ</t>
  </si>
  <si>
    <t xml:space="preserve">85286</t>
  </si>
  <si>
    <t xml:space="preserve">Chicago Data Center</t>
  </si>
  <si>
    <t xml:space="preserve">2345 Elk Grove Blvd</t>
  </si>
  <si>
    <t xml:space="preserve">Elk Grove Village</t>
  </si>
  <si>
    <t xml:space="preserve">IL</t>
  </si>
  <si>
    <t xml:space="preserve">60007</t>
  </si>
  <si>
    <t xml:space="preserve">Dublin Campus</t>
  </si>
  <si>
    <t xml:space="preserve">South County Business Park</t>
  </si>
  <si>
    <t xml:space="preserve">Leopardstown</t>
  </si>
  <si>
    <t xml:space="preserve">Dublin</t>
  </si>
  <si>
    <t xml:space="preserve">IE</t>
  </si>
  <si>
    <t xml:space="preserve">D18</t>
  </si>
  <si>
    <t xml:space="preserve">Masonry Non-Comb</t>
  </si>
  <si>
    <t xml:space="preserve">Office/EMEA HQ</t>
  </si>
  <si>
    <t xml:space="preserve">London Office</t>
  </si>
  <si>
    <t xml:space="preserve">2 Kingdom St</t>
  </si>
  <si>
    <t xml:space="preserve">London</t>
  </si>
  <si>
    <t xml:space="preserve">England</t>
  </si>
  <si>
    <t xml:space="preserve">GB</t>
  </si>
  <si>
    <t xml:space="preserve">W2 6BD</t>
  </si>
  <si>
    <t xml:space="preserve">Office</t>
  </si>
  <si>
    <t xml:space="preserve">Hyderabad Campus</t>
  </si>
  <si>
    <t xml:space="preserve">Raheja Mindspace IT Park</t>
  </si>
  <si>
    <t xml:space="preserve">Hyderabad</t>
  </si>
  <si>
    <t xml:space="preserve">Telangana</t>
  </si>
  <si>
    <t xml:space="preserve">IN</t>
  </si>
  <si>
    <t xml:space="preserve">500081</t>
  </si>
  <si>
    <t xml:space="preserve">Singapore Office</t>
  </si>
  <si>
    <t xml:space="preserve">One Marina Blvd</t>
  </si>
  <si>
    <t xml:space="preserve">SG</t>
  </si>
  <si>
    <t xml:space="preserve">018989</t>
  </si>
  <si>
    <t xml:space="preserve">Tokyo Office</t>
  </si>
  <si>
    <t xml:space="preserve">Shinagawa Grand Central Tower</t>
  </si>
  <si>
    <t xml:space="preserve">Tokyo</t>
  </si>
  <si>
    <t xml:space="preserve">JP</t>
  </si>
  <si>
    <t xml:space="preserve">108-0075</t>
  </si>
  <si>
    <t xml:space="preserve">Zone 4</t>
  </si>
  <si>
    <t xml:space="preserve">Sydney Office</t>
  </si>
  <si>
    <t xml:space="preserve">1 Macquarie Place</t>
  </si>
  <si>
    <t xml:space="preserve">Sydney</t>
  </si>
  <si>
    <t xml:space="preserve">NSW</t>
  </si>
  <si>
    <t xml:space="preserve">AU</t>
  </si>
  <si>
    <t xml:space="preserve">2000</t>
  </si>
  <si>
    <t xml:space="preserve">São Paulo Office</t>
  </si>
  <si>
    <t xml:space="preserve">Av. Nações Unidas 12901</t>
  </si>
  <si>
    <t xml:space="preserve">São Paulo</t>
  </si>
  <si>
    <t xml:space="preserve">SP</t>
  </si>
  <si>
    <t xml:space="preserve">BR</t>
  </si>
  <si>
    <t xml:space="preserve">04578-000</t>
  </si>
  <si>
    <t xml:space="preserve">Amsterdam Data Center</t>
  </si>
  <si>
    <t xml:space="preserve">Schiphol-Rijk</t>
  </si>
  <si>
    <t xml:space="preserve">Amsterdam</t>
  </si>
  <si>
    <t xml:space="preserve">North Holland</t>
  </si>
  <si>
    <t xml:space="preserve">NL</t>
  </si>
  <si>
    <t xml:space="preserve">1117</t>
  </si>
  <si>
    <t xml:space="preserve">Tel Aviv Office</t>
  </si>
  <si>
    <t xml:space="preserve">HaShalom Rd 13</t>
  </si>
  <si>
    <t xml:space="preserve">Tel Aviv</t>
  </si>
  <si>
    <t xml:space="preserve">6672301</t>
  </si>
  <si>
    <t xml:space="preserve">INCURRED LOSS DEVELOPMENT TRIANGLE — Microsoft Corporation — All Lines Combined</t>
  </si>
  <si>
    <t xml:space="preserve">Values in USD (000s)  |  As of December 31, 2025  |  Treaty: QS-2025-MSFT-001</t>
  </si>
  <si>
    <t xml:space="preserve">Accident Year</t>
  </si>
  <si>
    <t xml:space="preserve">Dev 1</t>
  </si>
  <si>
    <t xml:space="preserve">Dev 2</t>
  </si>
  <si>
    <t xml:space="preserve">Dev 3</t>
  </si>
  <si>
    <t xml:space="preserve">Dev 4</t>
  </si>
  <si>
    <t xml:space="preserve">Dev 5</t>
  </si>
  <si>
    <t xml:space="preserve">Dev 6</t>
  </si>
  <si>
    <t xml:space="preserve">Dev 7</t>
  </si>
  <si>
    <t xml:space="preserve">Dev 8</t>
  </si>
  <si>
    <t xml:space="preserve">Dev 9</t>
  </si>
  <si>
    <t xml:space="preserve">Dev 10</t>
  </si>
  <si>
    <t xml:space="preserve">LDF (Link Ratios)</t>
  </si>
  <si>
    <t xml:space="preserve">Legend:</t>
  </si>
  <si>
    <t xml:space="preserve">Actual (reported)</t>
  </si>
  <si>
    <t xml:space="preserve">Not yet available</t>
  </si>
  <si>
    <t xml:space="preserve">ENTERPRISE RISK REGISTER — Microsoft Corporation Insurance Programme</t>
  </si>
  <si>
    <t xml:space="preserve">Last updated: 2025-12-15  |  Review cycle: Quarterly  |  Owner: Corporate Risk Management</t>
  </si>
  <si>
    <t xml:space="preserve">Risk Description</t>
  </si>
  <si>
    <t xml:space="preserve">Category</t>
  </si>
  <si>
    <t xml:space="preserve">Likelihood (1–5)</t>
  </si>
  <si>
    <t xml:space="preserve">Severity (1–5)</t>
  </si>
  <si>
    <t xml:space="preserve">Risk Score</t>
  </si>
  <si>
    <t xml:space="preserve">Mitigation Strategy</t>
  </si>
  <si>
    <t xml:space="preserve">Risk Owner</t>
  </si>
  <si>
    <t xml:space="preserve">Date Identified</t>
  </si>
  <si>
    <t xml:space="preserve">Next Review</t>
  </si>
  <si>
    <t xml:space="preserve">Notes</t>
  </si>
  <si>
    <t xml:space="preserve">RR-001</t>
  </si>
  <si>
    <t xml:space="preserve">Major cyber attack / ransomware affecting Azure infrastructure</t>
  </si>
  <si>
    <t xml:space="preserve">Cyber / Technology</t>
  </si>
  <si>
    <t xml:space="preserve">Multi-layered cyber insurance tower; $500M limit. IR retainer with CrowdStrike. Annual pen testing.</t>
  </si>
  <si>
    <t xml:space="preserve">CISO Office</t>
  </si>
  <si>
    <t xml:space="preserve">Frequency increasing; reviewed annually with underwriters</t>
  </si>
  <si>
    <t xml:space="preserve">RR-002</t>
  </si>
  <si>
    <t xml:space="preserve">Natural catastrophe damage to data center cluster (earthquake/hurricane)</t>
  </si>
  <si>
    <t xml:space="preserve">Property / CAT</t>
  </si>
  <si>
    <t xml:space="preserve">Geographic diversification of DC locations. CAT XL reinsurance programme. Business continuity plans tested quarterly.</t>
  </si>
  <si>
    <t xml:space="preserve">VP Infrastructure</t>
  </si>
  <si>
    <t xml:space="preserve">Phoenix &amp; San Antonio in wind zones</t>
  </si>
  <si>
    <t xml:space="preserve">RR-003</t>
  </si>
  <si>
    <t xml:space="preserve">Regulatory fine — GDPR / data privacy violation</t>
  </si>
  <si>
    <t xml:space="preserve">Regulatory / Legal</t>
  </si>
  <si>
    <t xml:space="preserve">D&amp;O and cyber policies cover regulatory fines where insurable. Privacy compliance programme. DPO in each region.</t>
  </si>
  <si>
    <t xml:space="preserve">Chief Privacy Officer</t>
  </si>
  <si>
    <t xml:space="preserve">€4B potential max GDPR fine</t>
  </si>
  <si>
    <t xml:space="preserve">RR-004</t>
  </si>
  <si>
    <t xml:space="preserve">Business interruption from cloud service outage &gt; 72 hours</t>
  </si>
  <si>
    <t xml:space="preserve">Operational / BI</t>
  </si>
  <si>
    <t xml:space="preserve">BI coverage with 24hr waiting period. Redundant systems. SLA-backed BI sub-limits per region.</t>
  </si>
  <si>
    <t xml:space="preserve">VP Cloud Operations</t>
  </si>
  <si>
    <t xml:space="preserve">Largest BI exposure in Quincy &amp; Phoenix DCs</t>
  </si>
  <si>
    <t xml:space="preserve">RR-005</t>
  </si>
  <si>
    <t xml:space="preserve">D&amp;O claim — shareholder class action (AI liability)</t>
  </si>
  <si>
    <t xml:space="preserve">Directors &amp; Officers</t>
  </si>
  <si>
    <t xml:space="preserve">$200M D&amp;O tower. Side A DIC coverage. Pre-agreed defense counsel panel.</t>
  </si>
  <si>
    <t xml:space="preserve">General Counsel</t>
  </si>
  <si>
    <t xml:space="preserve">AI regulation evolving rapidly</t>
  </si>
  <si>
    <t xml:space="preserve">RR-006</t>
  </si>
  <si>
    <t xml:space="preserve">Supply chain disruption — semiconductor shortage impacting hardware</t>
  </si>
  <si>
    <t xml:space="preserve">Supply Chain</t>
  </si>
  <si>
    <t xml:space="preserve">Contingent BI coverage. Multi-source supply agreements. Strategic inventory buffer.</t>
  </si>
  <si>
    <t xml:space="preserve">VP Supply Chain</t>
  </si>
  <si>
    <t xml:space="preserve">Improved since 2022 peak</t>
  </si>
  <si>
    <t xml:space="preserve">RR-007</t>
  </si>
  <si>
    <t xml:space="preserve">Intellectual property infringement claim (patent troll litigation)</t>
  </si>
  <si>
    <t xml:space="preserve">Legal / IP</t>
  </si>
  <si>
    <t xml:space="preserve">IP insurance programme. Dedicated patent litigation team. Defensive patent portfolio.</t>
  </si>
  <si>
    <t xml:space="preserve">VP Legal — IP</t>
  </si>
  <si>
    <t xml:space="preserve">High frequency, moderate severity</t>
  </si>
  <si>
    <t xml:space="preserve">RR-008</t>
  </si>
  <si>
    <t xml:space="preserve">Political risk / sanctions — operations in restricted jurisdictions</t>
  </si>
  <si>
    <t xml:space="preserve">Political / Geopolitical</t>
  </si>
  <si>
    <t xml:space="preserve">Political risk insurance for key markets. Sanctions compliance monitoring. Scenario planning.</t>
  </si>
  <si>
    <t xml:space="preserve">VP Government Affairs</t>
  </si>
  <si>
    <t xml:space="preserve">China &amp; Russia exposure under review</t>
  </si>
  <si>
    <t xml:space="preserve">RR-009</t>
  </si>
  <si>
    <t xml:space="preserve">Workplace safety incident at manufacturing/logistics facility</t>
  </si>
  <si>
    <t xml:space="preserve">Workers Comp / Liability</t>
  </si>
  <si>
    <t xml:space="preserve">Workers comp programme. Safety training. Ergonomic assessments. EHS audits.</t>
  </si>
  <si>
    <t xml:space="preserve">VP HR &amp; Safety</t>
  </si>
  <si>
    <t xml:space="preserve">Low incident rate historically</t>
  </si>
  <si>
    <t xml:space="preserve">RR-010</t>
  </si>
  <si>
    <t xml:space="preserve">Reputational damage from AI product failure / bias incident</t>
  </si>
  <si>
    <t xml:space="preserve">Reputational</t>
  </si>
  <si>
    <t xml:space="preserve">Crisis communications plan. Responsible AI framework. Product liability coverage.</t>
  </si>
  <si>
    <t xml:space="preserve">Chief Communications Officer</t>
  </si>
  <si>
    <t xml:space="preserve">Emerging risk — new in 2024</t>
  </si>
  <si>
    <t xml:space="preserve">LOSS RATIO SUMMARY — Microsoft Corporation — Treaty QS-2025-MSFT-001</t>
  </si>
  <si>
    <t xml:space="preserve">Historical performance by Line of Business  |  Underwriting Years 2020–2025  |  USD (000s)</t>
  </si>
  <si>
    <t xml:space="preserve">UW Year</t>
  </si>
  <si>
    <t xml:space="preserve">Earned Premium</t>
  </si>
  <si>
    <t xml:space="preserve">Incurred Losses</t>
  </si>
  <si>
    <t xml:space="preserve">Loss Ratio</t>
  </si>
  <si>
    <t xml:space="preserve">Expense Ratio</t>
  </si>
  <si>
    <t xml:space="preserve">Combined Ratio</t>
  </si>
  <si>
    <t xml:space="preserve">Profit / (Loss)</t>
  </si>
  <si>
    <t xml:space="preserve">ALL LINES TOTAL</t>
  </si>
  <si>
    <t xml:space="preserve">CLAIMS RESERVING ANALYSIS — Microsoft Corporation</t>
  </si>
  <si>
    <t xml:space="preserve">As at December 31, 2025  |  Treaty: QS-2025-MSFT-001  |  All values in USD (000s)  |  Blue = assumption inputs</t>
  </si>
  <si>
    <t xml:space="preserve">A. RESERVE SUMMARY BY LINE OF BUSINESS</t>
  </si>
  <si>
    <t xml:space="preserve">Reported Claims</t>
  </si>
  <si>
    <t xml:space="preserve">IBNR Reserve</t>
  </si>
  <si>
    <t xml:space="preserve">Total Incurred</t>
  </si>
  <si>
    <t xml:space="preserve">Total Outstanding</t>
  </si>
  <si>
    <t xml:space="preserve">Paid %</t>
  </si>
  <si>
    <t xml:space="preserve">Adequacy Rating</t>
  </si>
  <si>
    <t xml:space="preserve">Actuary Review Date</t>
  </si>
  <si>
    <t xml:space="preserve">Slightly Deficient</t>
  </si>
  <si>
    <t xml:space="preserve">Adequate</t>
  </si>
  <si>
    <t xml:space="preserve">ALL LINES</t>
  </si>
  <si>
    <t xml:space="preserve">B. CHAIN-LADDER IBNR ESTIMATION (ALL LINES)</t>
  </si>
  <si>
    <t xml:space="preserve">Method: Volume-weighted Chain-Ladder applied to incurred loss triangle  |  IBNR = Ultimate - Latest Reported</t>
  </si>
  <si>
    <t xml:space="preserve">Latest Reported</t>
  </si>
  <si>
    <t xml:space="preserve">Dev Factor to Ultimate</t>
  </si>
  <si>
    <t xml:space="preserve">Estimated Ultimate</t>
  </si>
  <si>
    <t xml:space="preserve">IBNR</t>
  </si>
  <si>
    <t xml:space="preserve">% Developed</t>
  </si>
  <si>
    <t xml:space="preserve">Confidence Level</t>
  </si>
  <si>
    <t xml:space="preserve">High</t>
  </si>
  <si>
    <t xml:space="preserve">Medium</t>
  </si>
  <si>
    <t xml:space="preserve">Low</t>
  </si>
  <si>
    <t xml:space="preserve">TOTAL</t>
  </si>
  <si>
    <t xml:space="preserve">C. RESERVE MOVEMENT ANALYSIS (PRIOR YEAR RUN-OFF)</t>
  </si>
  <si>
    <t xml:space="preserve">Reserve @ Dec-24</t>
  </si>
  <si>
    <t xml:space="preserve">Payments in 2025</t>
  </si>
  <si>
    <t xml:space="preserve">Reserve Adjustments</t>
  </si>
  <si>
    <t xml:space="preserve">Reserve @ Dec-25</t>
  </si>
  <si>
    <t xml:space="preserve">Run-off Result</t>
  </si>
  <si>
    <t xml:space="preserve">Favourable / Adverse</t>
  </si>
  <si>
    <t xml:space="preserve">PROFITABILITY ANALYSIS — Microsoft Corporation Insurance Programme</t>
  </si>
  <si>
    <t xml:space="preserve">Treaty: QS-2025-MSFT-001  |  Analysis period: UW Years 2020–2025  |  USD (000s)  |  Blue = assumption inputs</t>
  </si>
  <si>
    <t xml:space="preserve">A. UNDERWRITING PROFIT &amp; LOSS BY YEAR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</si>
  <si>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</si>
  <si>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</si>
  <si>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</si>
  <si>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</si>
  <si>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</si>
  <si>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</si>
  <si>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</t>
  </si>
  <si>
    <t xml:space="preserve">KEY ASSUMPTIONS</t>
  </si>
  <si>
    <t xml:space="preserve">Gross Written Premium</t>
  </si>
  <si>
    <t xml:space="preserve">Commission Rate</t>
  </si>
  <si>
    <t xml:space="preserve">Cession Rate</t>
  </si>
  <si>
    <t xml:space="preserve">OpEx Rate</t>
  </si>
  <si>
    <t xml:space="preserve">Tax Rate</t>
  </si>
  <si>
    <t xml:space="preserve">Net Written Premium</t>
  </si>
  <si>
    <t xml:space="preserve">Unearned Premium Reserve Δ</t>
  </si>
  <si>
    <t xml:space="preserve">Net Earned Premium</t>
  </si>
  <si>
    <t xml:space="preserve">Gross Incurred Losses</t>
  </si>
  <si>
    <t xml:space="preserve">Reinsurance Recoveries</t>
  </si>
  <si>
    <t xml:space="preserve">Net Incurred Losses</t>
  </si>
  <si>
    <t xml:space="preserve">Acquisition Costs (Commission)</t>
  </si>
  <si>
    <t xml:space="preserve">Operating Expenses</t>
  </si>
  <si>
    <t xml:space="preserve">Total Expenses</t>
  </si>
  <si>
    <t xml:space="preserve">Underwriting Result</t>
  </si>
  <si>
    <t xml:space="preserve">Investment Income</t>
  </si>
  <si>
    <t xml:space="preserve">Pre-Tax Profit / (Loss)</t>
  </si>
  <si>
    <t xml:space="preserve">B. KEY PERFORMANCE RATIOS</t>
  </si>
  <si>
    <t xml:space="preserve">Net Loss Ratio</t>
  </si>
  <si>
    <t xml:space="preserve">Investment Yield</t>
  </si>
  <si>
    <t xml:space="preserve">Operating Ratio</t>
  </si>
  <si>
    <t xml:space="preserve">Return on Net Premium</t>
  </si>
  <si>
    <t xml:space="preserve">C. 2025 PROFITABILITY BY LINE OF BUSINESS</t>
  </si>
  <si>
    <t xml:space="preserve">Net Incurred Loss</t>
  </si>
  <si>
    <t xml:space="preserve">Expenses</t>
  </si>
  <si>
    <t xml:space="preserve">UW Result</t>
  </si>
  <si>
    <t xml:space="preserve">Verdict</t>
  </si>
  <si>
    <t xml:space="preserve">PREMIUM RATING &amp; PRICING ENGINE — Microsoft Corporation</t>
  </si>
  <si>
    <t xml:space="preserve">Indicative pricing model for 2026 renewal  |  Blue = modifiable inputs  |  Yellow = key assumptions  |  All values in USD (000s)</t>
  </si>
  <si>
    <t xml:space="preserve">A. GLOBAL RATING ASSUMPTIONS</t>
  </si>
  <si>
    <t xml:space="preserve">Parameter</t>
  </si>
  <si>
    <t xml:space="preserve">Value</t>
  </si>
  <si>
    <t xml:space="preserve">Description</t>
  </si>
  <si>
    <t xml:space="preserve">Base Rate — Property</t>
  </si>
  <si>
    <t xml:space="preserve">Rate per $1 of TIV</t>
  </si>
  <si>
    <t xml:space="preserve">Base Rate — Data Center</t>
  </si>
  <si>
    <t xml:space="preserve">Rate per $1 of TIV (higher due to contents concentration)</t>
  </si>
  <si>
    <t xml:space="preserve">Base Rate — Cyber</t>
  </si>
  <si>
    <t xml:space="preserve">Rate per $1 of revenue proxy</t>
  </si>
  <si>
    <t xml:space="preserve">Base Rate — D&amp;O</t>
  </si>
  <si>
    <t xml:space="preserve">Rate per $1 of market cap proxy</t>
  </si>
  <si>
    <t xml:space="preserve">Base Rate — BI</t>
  </si>
  <si>
    <t xml:space="preserve">Rate per $1 of BI exposure</t>
  </si>
  <si>
    <t xml:space="preserve">Experience Mod — 3yr Loss Ratio</t>
  </si>
  <si>
    <t xml:space="preserve">Multiplier based on historical claims performance</t>
  </si>
  <si>
    <t xml:space="preserve">CAT Loading</t>
  </si>
  <si>
    <t xml:space="preserve">Catastrophe risk surcharge (EQ + Wind)</t>
  </si>
  <si>
    <t xml:space="preserve">Terrorism Loading</t>
  </si>
  <si>
    <t xml:space="preserve">TRIA / standalone terrorism risk</t>
  </si>
  <si>
    <t xml:space="preserve">Large Loss Loading</t>
  </si>
  <si>
    <t xml:space="preserve">Frequency/severity adjustment for $10M+ events</t>
  </si>
  <si>
    <t xml:space="preserve">Market Cycle Adjustment</t>
  </si>
  <si>
    <t xml:space="preserve">Current hard market uplift factor</t>
  </si>
  <si>
    <t xml:space="preserve">No Claims Discount</t>
  </si>
  <si>
    <t xml:space="preserve">Discount for LoB with loss ratio &lt; 50% in prior year</t>
  </si>
  <si>
    <t xml:space="preserve">Brokerage</t>
  </si>
  <si>
    <t xml:space="preserve">Broker commission rate</t>
  </si>
  <si>
    <t xml:space="preserve">Reinsurance Cost Load</t>
  </si>
  <si>
    <t xml:space="preserve">Cost of reinsurance programme passed to insured</t>
  </si>
  <si>
    <t xml:space="preserve">B. EXPOSURE-BASED TECHNICAL PRICING BY RISK</t>
  </si>
  <si>
    <t xml:space="preserve">Technical Premium = Exposure × Base Rate × Experience Mod × (1 + CAT + Terrorism + Large Loss) × Market Cycle × (1 - NCD if applicable) × (1 + Brokerage + RI Cost)</t>
  </si>
  <si>
    <t xml:space="preserve">Exposure Base (000s)</t>
  </si>
  <si>
    <t xml:space="preserve">Base Rate</t>
  </si>
  <si>
    <t xml:space="preserve">Rate x Exposure</t>
  </si>
  <si>
    <t xml:space="preserve">Experience Mod</t>
  </si>
  <si>
    <t xml:space="preserve">Loaded Premium</t>
  </si>
  <si>
    <t xml:space="preserve">Market Adjusted</t>
  </si>
  <si>
    <t xml:space="preserve">NCD Applied</t>
  </si>
  <si>
    <t xml:space="preserve">Distribution Load</t>
  </si>
  <si>
    <t xml:space="preserve">Technical Premium</t>
  </si>
  <si>
    <t xml:space="preserve">Expiring Premium</t>
  </si>
  <si>
    <t xml:space="preserve">Rate Change %</t>
  </si>
  <si>
    <t xml:space="preserve">MSFT-PROP-001</t>
  </si>
  <si>
    <t xml:space="preserve">Redmond Campus (Bldgs 34,50,92)</t>
  </si>
  <si>
    <t xml:space="preserve">MSFT-PROP-002</t>
  </si>
  <si>
    <t xml:space="preserve">MSFT-PROP-003</t>
  </si>
  <si>
    <t xml:space="preserve">London + Amsterdam Offices</t>
  </si>
  <si>
    <t xml:space="preserve">MSFT-PROP-004</t>
  </si>
  <si>
    <t xml:space="preserve">APAC Offices (SG, TK, SY)</t>
  </si>
  <si>
    <t xml:space="preserve">MSFT-DC-001</t>
  </si>
  <si>
    <t xml:space="preserve">Quincy DC</t>
  </si>
  <si>
    <t xml:space="preserve">MSFT-DC-002</t>
  </si>
  <si>
    <t xml:space="preserve">San Antonio DC</t>
  </si>
  <si>
    <t xml:space="preserve">MSFT-DC-003</t>
  </si>
  <si>
    <t xml:space="preserve">Boydton DC</t>
  </si>
  <si>
    <t xml:space="preserve">MSFT-DC-004</t>
  </si>
  <si>
    <t xml:space="preserve">Des Moines DC</t>
  </si>
  <si>
    <t xml:space="preserve">MSFT-DC-005</t>
  </si>
  <si>
    <t xml:space="preserve">Phoenix DC</t>
  </si>
  <si>
    <t xml:space="preserve">MSFT-DC-006</t>
  </si>
  <si>
    <t xml:space="preserve">Chicago DC</t>
  </si>
  <si>
    <t xml:space="preserve">MSFT-DC-007</t>
  </si>
  <si>
    <t xml:space="preserve">Amsterdam DC</t>
  </si>
  <si>
    <t xml:space="preserve">MSFT-CYB-001</t>
  </si>
  <si>
    <t xml:space="preserve">Global — 1st Party</t>
  </si>
  <si>
    <t xml:space="preserve">MSFT-CYB-002</t>
  </si>
  <si>
    <t xml:space="preserve">Global — 3rd Party / Liability</t>
  </si>
  <si>
    <t xml:space="preserve">MSFT-DO-001</t>
  </si>
  <si>
    <t xml:space="preserve">Global — Side A/B/C</t>
  </si>
  <si>
    <t xml:space="preserve">MSFT-BI-001</t>
  </si>
  <si>
    <t xml:space="preserve">Global — Cloud BI</t>
  </si>
  <si>
    <t xml:space="preserve">MSFT-BI-002</t>
  </si>
  <si>
    <t xml:space="preserve">Global — Non-Cloud BI</t>
  </si>
  <si>
    <t xml:space="preserve">TOTAL PROGRAMME</t>
  </si>
  <si>
    <t xml:space="preserve">C. PREMIUM ADEQUACY TEST</t>
  </si>
  <si>
    <t xml:space="preserve">Expected Loss</t>
  </si>
  <si>
    <t xml:space="preserve">Expected Loss Ratio</t>
  </si>
  <si>
    <t xml:space="preserve">Breakeven Premium</t>
  </si>
  <si>
    <t xml:space="preserve">Adequacy Margin</t>
  </si>
  <si>
    <t xml:space="preserve">Adequacy %</t>
  </si>
  <si>
    <t xml:space="preserve">Signal</t>
  </si>
  <si>
    <t xml:space="preserve">D. RATE SENSITIVITY — TOTAL PROGRAMME PREMIUM</t>
  </si>
  <si>
    <t xml:space="preserve">Scenario</t>
  </si>
  <si>
    <t xml:space="preserve">Market Cycle</t>
  </si>
  <si>
    <t xml:space="preserve">Total Technical Premium</t>
  </si>
  <si>
    <t xml:space="preserve">vs Base Case</t>
  </si>
  <si>
    <t xml:space="preserve">Rate Change vs Expiring</t>
  </si>
  <si>
    <t xml:space="preserve">Soft Market / Favourable Loss</t>
  </si>
  <si>
    <t xml:space="preserve">Base Case (Current)</t>
  </si>
  <si>
    <t xml:space="preserve">Hard Market / Adverse Loss</t>
  </si>
  <si>
    <t xml:space="preserve">Stress — Major CAT Year</t>
  </si>
  <si>
    <t xml:space="preserve">Best Case — Clean Year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</si>
</sst>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#,##0"/>
    <numFmt numFmtId="167" formatCode="0.0%"/>
    <numFmt numFmtId="168" formatCode="0"/>
    <numFmt numFmtId="169" formatCode="0.000"/>
    <numFmt numFmtId="170" formatCode="General"/>
    <numFmt numFmtId="171" formatCode="0.00%"/>
    <numFmt numFmtId="172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AEEF3"/>
      </patternFill>
    </fill>
    <fill>
      <patternFill patternType="solid">
        <fgColor rgb="FFFFC7CE"/>
        <bgColor rgb="FFFCD5B4"/>
      </patternFill>
    </fill>
    <fill>
      <patternFill patternType="solid">
        <fgColor rgb="FFFCD5B4"/>
        <bgColor rgb="FFFFC7CE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DAEEF3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7F7F7F"/>
        <bgColor rgb="FF96969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/>
      <top style="double"/>
      <bottom/>
      <diagonal/>
    </border>
    <border diagonalUp="false" diagonalDown="false">
      <left style="thin">
        <color rgb="FFB0B0B0"/>
      </left>
      <right style="thin">
        <color rgb="FFB0B0B0"/>
      </right>
      <top style="double"/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7F7F7F"/>
      <rgbColor rgb="FF9999FF"/>
      <rgbColor rgb="FF993366"/>
      <rgbColor rgb="FFFFF2CC"/>
      <rgbColor rgb="FFDAEEF3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CD5B4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6" min="3" style="1" width="16"/>
    <col collapsed="false" customWidth="true" hidden="false" outlineLevel="0" max="7" min="7" style="1" width="24"/>
    <col collapsed="false" customWidth="true" hidden="false" outlineLevel="0" max="14" min="8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15" hidden="false" customHeight="true" outlineLevel="0" collapsed="false">
      <c r="A5" s="5" t="s">
        <v>16</v>
      </c>
      <c r="B5" s="5" t="s">
        <v>17</v>
      </c>
      <c r="C5" s="5" t="s">
        <v>18</v>
      </c>
      <c r="D5" s="5" t="s">
        <v>19</v>
      </c>
      <c r="E5" s="6" t="n">
        <v>45658</v>
      </c>
      <c r="F5" s="6" t="n">
        <v>46022</v>
      </c>
      <c r="G5" s="5" t="s">
        <v>20</v>
      </c>
      <c r="H5" s="5" t="s">
        <v>21</v>
      </c>
      <c r="I5" s="7" t="n">
        <v>50000</v>
      </c>
      <c r="J5" s="7" t="n">
        <v>322</v>
      </c>
      <c r="K5" s="8" t="n">
        <v>0.3</v>
      </c>
      <c r="L5" s="7" t="n">
        <f aca="false">J5*K5</f>
        <v>96.6</v>
      </c>
      <c r="M5" s="5" t="s">
        <v>22</v>
      </c>
      <c r="N5" s="5" t="s">
        <v>23</v>
      </c>
    </row>
    <row r="6" customFormat="false" ht="15" hidden="false" customHeight="true" outlineLevel="0" collapsed="false">
      <c r="A6" s="5" t="s">
        <v>24</v>
      </c>
      <c r="B6" s="5" t="s">
        <v>17</v>
      </c>
      <c r="C6" s="5" t="s">
        <v>25</v>
      </c>
      <c r="D6" s="5" t="s">
        <v>19</v>
      </c>
      <c r="E6" s="6" t="n">
        <v>45658</v>
      </c>
      <c r="F6" s="6" t="n">
        <v>46022</v>
      </c>
      <c r="G6" s="5" t="s">
        <v>26</v>
      </c>
      <c r="H6" s="5" t="s">
        <v>21</v>
      </c>
      <c r="I6" s="7" t="n">
        <v>1000000</v>
      </c>
      <c r="J6" s="7" t="n">
        <v>6444</v>
      </c>
      <c r="K6" s="8" t="n">
        <v>0.25</v>
      </c>
      <c r="L6" s="7" t="n">
        <f aca="false">J6*K6</f>
        <v>1611</v>
      </c>
      <c r="M6" s="5" t="s">
        <v>27</v>
      </c>
      <c r="N6" s="5" t="s">
        <v>23</v>
      </c>
    </row>
    <row r="7" customFormat="false" ht="15" hidden="false" customHeight="true" outlineLevel="0" collapsed="false">
      <c r="A7" s="5" t="s">
        <v>28</v>
      </c>
      <c r="B7" s="5" t="s">
        <v>17</v>
      </c>
      <c r="C7" s="5" t="s">
        <v>29</v>
      </c>
      <c r="D7" s="5" t="s">
        <v>19</v>
      </c>
      <c r="E7" s="6" t="n">
        <v>45658</v>
      </c>
      <c r="F7" s="6" t="n">
        <v>46022</v>
      </c>
      <c r="G7" s="5" t="s">
        <v>30</v>
      </c>
      <c r="H7" s="5" t="s">
        <v>21</v>
      </c>
      <c r="I7" s="7" t="n">
        <v>50000</v>
      </c>
      <c r="J7" s="7" t="n">
        <v>165</v>
      </c>
      <c r="K7" s="8" t="n">
        <v>0.25</v>
      </c>
      <c r="L7" s="7" t="n">
        <f aca="false">J7*K7</f>
        <v>41.25</v>
      </c>
      <c r="M7" s="5" t="s">
        <v>22</v>
      </c>
      <c r="N7" s="5" t="s">
        <v>23</v>
      </c>
    </row>
    <row r="8" customFormat="false" ht="15" hidden="false" customHeight="true" outlineLevel="0" collapsed="false">
      <c r="A8" s="5" t="s">
        <v>31</v>
      </c>
      <c r="B8" s="5" t="s">
        <v>17</v>
      </c>
      <c r="C8" s="5" t="s">
        <v>32</v>
      </c>
      <c r="D8" s="5" t="s">
        <v>33</v>
      </c>
      <c r="E8" s="6" t="n">
        <v>45931</v>
      </c>
      <c r="F8" s="6" t="n">
        <v>46295</v>
      </c>
      <c r="G8" s="5" t="s">
        <v>34</v>
      </c>
      <c r="H8" s="5" t="s">
        <v>21</v>
      </c>
      <c r="I8" s="7" t="n">
        <v>100000</v>
      </c>
      <c r="J8" s="7" t="n">
        <v>469</v>
      </c>
      <c r="K8" s="8" t="n">
        <v>0.4</v>
      </c>
      <c r="L8" s="7" t="n">
        <f aca="false">J8*K8</f>
        <v>187.6</v>
      </c>
      <c r="M8" s="5" t="s">
        <v>35</v>
      </c>
      <c r="N8" s="5" t="s">
        <v>23</v>
      </c>
    </row>
    <row r="9" customFormat="false" ht="15" hidden="false" customHeight="true" outlineLevel="0" collapsed="false">
      <c r="A9" s="5" t="s">
        <v>36</v>
      </c>
      <c r="B9" s="5" t="s">
        <v>17</v>
      </c>
      <c r="C9" s="5" t="s">
        <v>37</v>
      </c>
      <c r="D9" s="5" t="s">
        <v>33</v>
      </c>
      <c r="E9" s="6" t="n">
        <v>45748</v>
      </c>
      <c r="F9" s="6" t="n">
        <v>46112</v>
      </c>
      <c r="G9" s="5" t="s">
        <v>38</v>
      </c>
      <c r="H9" s="5" t="s">
        <v>21</v>
      </c>
      <c r="I9" s="7" t="n">
        <v>1000000</v>
      </c>
      <c r="J9" s="7" t="n">
        <v>4535</v>
      </c>
      <c r="K9" s="8" t="n">
        <v>0.4</v>
      </c>
      <c r="L9" s="7" t="n">
        <f aca="false">J9*K9</f>
        <v>1814</v>
      </c>
      <c r="M9" s="5" t="s">
        <v>22</v>
      </c>
      <c r="N9" s="5" t="s">
        <v>23</v>
      </c>
    </row>
    <row r="10" customFormat="false" ht="15" hidden="false" customHeight="true" outlineLevel="0" collapsed="false">
      <c r="A10" s="5" t="s">
        <v>39</v>
      </c>
      <c r="B10" s="5" t="s">
        <v>17</v>
      </c>
      <c r="C10" s="5" t="s">
        <v>40</v>
      </c>
      <c r="D10" s="5" t="s">
        <v>33</v>
      </c>
      <c r="E10" s="6" t="n">
        <v>45839</v>
      </c>
      <c r="F10" s="6" t="n">
        <v>46203</v>
      </c>
      <c r="G10" s="5" t="s">
        <v>41</v>
      </c>
      <c r="H10" s="5" t="s">
        <v>21</v>
      </c>
      <c r="I10" s="7" t="n">
        <v>50000</v>
      </c>
      <c r="J10" s="7" t="n">
        <v>127</v>
      </c>
      <c r="K10" s="8" t="n">
        <v>0.25</v>
      </c>
      <c r="L10" s="7" t="n">
        <f aca="false">J10*K10</f>
        <v>31.75</v>
      </c>
      <c r="M10" s="5" t="s">
        <v>42</v>
      </c>
      <c r="N10" s="5" t="s">
        <v>23</v>
      </c>
    </row>
    <row r="11" customFormat="false" ht="15" hidden="false" customHeight="true" outlineLevel="0" collapsed="false">
      <c r="A11" s="5" t="s">
        <v>43</v>
      </c>
      <c r="B11" s="5" t="s">
        <v>17</v>
      </c>
      <c r="C11" s="5" t="s">
        <v>44</v>
      </c>
      <c r="D11" s="5" t="s">
        <v>33</v>
      </c>
      <c r="E11" s="6" t="n">
        <v>45839</v>
      </c>
      <c r="F11" s="6" t="n">
        <v>46203</v>
      </c>
      <c r="G11" s="5" t="s">
        <v>45</v>
      </c>
      <c r="H11" s="5" t="s">
        <v>21</v>
      </c>
      <c r="I11" s="7" t="n">
        <v>750000</v>
      </c>
      <c r="J11" s="7" t="n">
        <v>2690</v>
      </c>
      <c r="K11" s="8" t="n">
        <v>0.25</v>
      </c>
      <c r="L11" s="7" t="n">
        <f aca="false">J11*K11</f>
        <v>672.5</v>
      </c>
      <c r="M11" s="5" t="s">
        <v>27</v>
      </c>
      <c r="N11" s="5" t="s">
        <v>23</v>
      </c>
    </row>
    <row r="12" customFormat="false" ht="15" hidden="false" customHeight="true" outlineLevel="0" collapsed="false">
      <c r="A12" s="5" t="s">
        <v>46</v>
      </c>
      <c r="B12" s="5" t="s">
        <v>17</v>
      </c>
      <c r="C12" s="5" t="s">
        <v>47</v>
      </c>
      <c r="D12" s="5" t="s">
        <v>19</v>
      </c>
      <c r="E12" s="6" t="n">
        <v>45658</v>
      </c>
      <c r="F12" s="6" t="n">
        <v>46022</v>
      </c>
      <c r="G12" s="5" t="s">
        <v>48</v>
      </c>
      <c r="H12" s="5" t="s">
        <v>21</v>
      </c>
      <c r="I12" s="7" t="n">
        <v>500000</v>
      </c>
      <c r="J12" s="7" t="n">
        <v>1236</v>
      </c>
      <c r="K12" s="8" t="n">
        <v>0.4</v>
      </c>
      <c r="L12" s="7" t="n">
        <f aca="false">J12*K12</f>
        <v>494.4</v>
      </c>
      <c r="M12" s="5" t="s">
        <v>42</v>
      </c>
      <c r="N12" s="5" t="s">
        <v>23</v>
      </c>
    </row>
    <row r="13" customFormat="false" ht="15" hidden="false" customHeight="true" outlineLevel="0" collapsed="false">
      <c r="A13" s="5" t="s">
        <v>49</v>
      </c>
      <c r="B13" s="5" t="s">
        <v>17</v>
      </c>
      <c r="C13" s="5" t="s">
        <v>50</v>
      </c>
      <c r="D13" s="5" t="s">
        <v>19</v>
      </c>
      <c r="E13" s="6" t="n">
        <v>45748</v>
      </c>
      <c r="F13" s="6" t="n">
        <v>46112</v>
      </c>
      <c r="G13" s="5" t="s">
        <v>51</v>
      </c>
      <c r="H13" s="5" t="s">
        <v>21</v>
      </c>
      <c r="I13" s="7" t="n">
        <v>1000000</v>
      </c>
      <c r="J13" s="7" t="n">
        <v>2417</v>
      </c>
      <c r="K13" s="8" t="n">
        <v>0.3</v>
      </c>
      <c r="L13" s="7" t="n">
        <f aca="false">J13*K13</f>
        <v>725.1</v>
      </c>
      <c r="M13" s="5" t="s">
        <v>42</v>
      </c>
      <c r="N13" s="5" t="s">
        <v>23</v>
      </c>
    </row>
    <row r="14" customFormat="false" ht="15" hidden="false" customHeight="true" outlineLevel="0" collapsed="false">
      <c r="A14" s="5" t="s">
        <v>52</v>
      </c>
      <c r="B14" s="5" t="s">
        <v>17</v>
      </c>
      <c r="C14" s="5" t="s">
        <v>53</v>
      </c>
      <c r="D14" s="5" t="s">
        <v>54</v>
      </c>
      <c r="E14" s="6" t="n">
        <v>45748</v>
      </c>
      <c r="F14" s="6" t="n">
        <v>46112</v>
      </c>
      <c r="G14" s="5" t="s">
        <v>55</v>
      </c>
      <c r="H14" s="5" t="s">
        <v>21</v>
      </c>
      <c r="I14" s="7" t="n">
        <v>2000000</v>
      </c>
      <c r="J14" s="7" t="n">
        <v>5212</v>
      </c>
      <c r="K14" s="8" t="n">
        <v>0.4</v>
      </c>
      <c r="L14" s="7" t="n">
        <f aca="false">J14*K14</f>
        <v>2084.8</v>
      </c>
      <c r="M14" s="5" t="s">
        <v>27</v>
      </c>
      <c r="N14" s="5" t="s">
        <v>23</v>
      </c>
    </row>
    <row r="15" customFormat="false" ht="15" hidden="false" customHeight="true" outlineLevel="0" collapsed="false">
      <c r="A15" s="5" t="s">
        <v>56</v>
      </c>
      <c r="B15" s="5" t="s">
        <v>17</v>
      </c>
      <c r="C15" s="5" t="s">
        <v>57</v>
      </c>
      <c r="D15" s="5" t="s">
        <v>58</v>
      </c>
      <c r="E15" s="6" t="n">
        <v>45839</v>
      </c>
      <c r="F15" s="6" t="n">
        <v>46203</v>
      </c>
      <c r="G15" s="5" t="s">
        <v>59</v>
      </c>
      <c r="H15" s="5" t="s">
        <v>21</v>
      </c>
      <c r="I15" s="7" t="n">
        <v>100000</v>
      </c>
      <c r="J15" s="7" t="n">
        <v>422</v>
      </c>
      <c r="K15" s="8" t="n">
        <v>0.3</v>
      </c>
      <c r="L15" s="7" t="n">
        <f aca="false">J15*K15</f>
        <v>126.6</v>
      </c>
      <c r="M15" s="5" t="s">
        <v>42</v>
      </c>
      <c r="N15" s="5" t="s">
        <v>23</v>
      </c>
    </row>
    <row r="16" customFormat="false" ht="15" hidden="false" customHeight="true" outlineLevel="0" collapsed="false">
      <c r="A16" s="5" t="s">
        <v>60</v>
      </c>
      <c r="B16" s="5" t="s">
        <v>17</v>
      </c>
      <c r="C16" s="5" t="s">
        <v>61</v>
      </c>
      <c r="D16" s="5" t="s">
        <v>58</v>
      </c>
      <c r="E16" s="6" t="n">
        <v>45658</v>
      </c>
      <c r="F16" s="6" t="n">
        <v>46022</v>
      </c>
      <c r="G16" s="5" t="s">
        <v>20</v>
      </c>
      <c r="H16" s="5" t="s">
        <v>21</v>
      </c>
      <c r="I16" s="7" t="n">
        <v>750000</v>
      </c>
      <c r="J16" s="7" t="n">
        <v>4357</v>
      </c>
      <c r="K16" s="8" t="n">
        <v>0.3</v>
      </c>
      <c r="L16" s="7" t="n">
        <f aca="false">J16*K16</f>
        <v>1307.1</v>
      </c>
      <c r="M16" s="5" t="s">
        <v>22</v>
      </c>
      <c r="N16" s="5" t="s">
        <v>23</v>
      </c>
    </row>
    <row r="17" customFormat="false" ht="15" hidden="false" customHeight="true" outlineLevel="0" collapsed="false">
      <c r="A17" s="5" t="s">
        <v>62</v>
      </c>
      <c r="B17" s="5" t="s">
        <v>17</v>
      </c>
      <c r="C17" s="5" t="s">
        <v>63</v>
      </c>
      <c r="D17" s="5" t="s">
        <v>64</v>
      </c>
      <c r="E17" s="6" t="n">
        <v>45931</v>
      </c>
      <c r="F17" s="6" t="n">
        <v>46295</v>
      </c>
      <c r="G17" s="5" t="s">
        <v>65</v>
      </c>
      <c r="H17" s="5" t="s">
        <v>21</v>
      </c>
      <c r="I17" s="7" t="n">
        <v>250000</v>
      </c>
      <c r="J17" s="7" t="n">
        <v>1984</v>
      </c>
      <c r="K17" s="8" t="n">
        <v>0.3</v>
      </c>
      <c r="L17" s="7" t="n">
        <f aca="false">J17*K17</f>
        <v>595.2</v>
      </c>
      <c r="M17" s="5" t="s">
        <v>42</v>
      </c>
      <c r="N17" s="5" t="s">
        <v>23</v>
      </c>
    </row>
    <row r="18" customFormat="false" ht="15" hidden="false" customHeight="true" outlineLevel="0" collapsed="false">
      <c r="A18" s="5" t="s">
        <v>66</v>
      </c>
      <c r="B18" s="5" t="s">
        <v>17</v>
      </c>
      <c r="C18" s="5" t="s">
        <v>67</v>
      </c>
      <c r="D18" s="5" t="s">
        <v>33</v>
      </c>
      <c r="E18" s="6" t="n">
        <v>45658</v>
      </c>
      <c r="F18" s="6" t="n">
        <v>46022</v>
      </c>
      <c r="G18" s="5" t="s">
        <v>68</v>
      </c>
      <c r="H18" s="5" t="s">
        <v>21</v>
      </c>
      <c r="I18" s="7" t="n">
        <v>100000</v>
      </c>
      <c r="J18" s="7" t="n">
        <v>693</v>
      </c>
      <c r="K18" s="8" t="n">
        <v>0.4</v>
      </c>
      <c r="L18" s="7" t="n">
        <f aca="false">J18*K18</f>
        <v>277.2</v>
      </c>
      <c r="M18" s="5" t="s">
        <v>27</v>
      </c>
      <c r="N18" s="5" t="s">
        <v>23</v>
      </c>
    </row>
    <row r="19" customFormat="false" ht="15" hidden="false" customHeight="true" outlineLevel="0" collapsed="false">
      <c r="A19" s="5" t="s">
        <v>69</v>
      </c>
      <c r="B19" s="5" t="s">
        <v>17</v>
      </c>
      <c r="C19" s="5" t="s">
        <v>70</v>
      </c>
      <c r="D19" s="5" t="s">
        <v>33</v>
      </c>
      <c r="E19" s="6" t="n">
        <v>45658</v>
      </c>
      <c r="F19" s="6" t="n">
        <v>46022</v>
      </c>
      <c r="G19" s="5" t="s">
        <v>71</v>
      </c>
      <c r="H19" s="5" t="s">
        <v>21</v>
      </c>
      <c r="I19" s="7" t="n">
        <v>100000</v>
      </c>
      <c r="J19" s="7" t="n">
        <v>747</v>
      </c>
      <c r="K19" s="8" t="n">
        <v>0.4</v>
      </c>
      <c r="L19" s="7" t="n">
        <f aca="false">J19*K19</f>
        <v>298.8</v>
      </c>
      <c r="M19" s="5" t="s">
        <v>22</v>
      </c>
      <c r="N19" s="5" t="s">
        <v>23</v>
      </c>
    </row>
    <row r="20" customFormat="false" ht="15" hidden="false" customHeight="true" outlineLevel="0" collapsed="false">
      <c r="A20" s="5" t="s">
        <v>72</v>
      </c>
      <c r="B20" s="5" t="s">
        <v>17</v>
      </c>
      <c r="C20" s="5" t="s">
        <v>73</v>
      </c>
      <c r="D20" s="5" t="s">
        <v>19</v>
      </c>
      <c r="E20" s="6" t="n">
        <v>45931</v>
      </c>
      <c r="F20" s="6" t="n">
        <v>46295</v>
      </c>
      <c r="G20" s="5" t="s">
        <v>74</v>
      </c>
      <c r="H20" s="5" t="s">
        <v>21</v>
      </c>
      <c r="I20" s="7" t="n">
        <v>500000</v>
      </c>
      <c r="J20" s="7" t="n">
        <v>3654</v>
      </c>
      <c r="K20" s="8" t="n">
        <v>0.5</v>
      </c>
      <c r="L20" s="7" t="n">
        <f aca="false">J20*K20</f>
        <v>1827</v>
      </c>
      <c r="M20" s="5" t="s">
        <v>22</v>
      </c>
      <c r="N20" s="5" t="s">
        <v>23</v>
      </c>
    </row>
    <row r="21" customFormat="false" ht="15" hidden="false" customHeight="true" outlineLevel="0" collapsed="false">
      <c r="A21" s="5" t="s">
        <v>75</v>
      </c>
      <c r="B21" s="5" t="s">
        <v>17</v>
      </c>
      <c r="C21" s="5" t="s">
        <v>76</v>
      </c>
      <c r="D21" s="5" t="s">
        <v>19</v>
      </c>
      <c r="E21" s="6" t="n">
        <v>45748</v>
      </c>
      <c r="F21" s="6" t="n">
        <v>46112</v>
      </c>
      <c r="G21" s="5" t="s">
        <v>77</v>
      </c>
      <c r="H21" s="5" t="s">
        <v>21</v>
      </c>
      <c r="I21" s="7" t="n">
        <v>100000</v>
      </c>
      <c r="J21" s="7" t="n">
        <v>646</v>
      </c>
      <c r="K21" s="8" t="n">
        <v>0.4</v>
      </c>
      <c r="L21" s="7" t="n">
        <f aca="false">J21*K21</f>
        <v>258.4</v>
      </c>
      <c r="M21" s="5" t="s">
        <v>27</v>
      </c>
      <c r="N21" s="5" t="s">
        <v>23</v>
      </c>
    </row>
    <row r="22" customFormat="false" ht="15" hidden="false" customHeight="true" outlineLevel="0" collapsed="false">
      <c r="A22" s="5" t="s">
        <v>78</v>
      </c>
      <c r="B22" s="5" t="s">
        <v>17</v>
      </c>
      <c r="C22" s="5" t="s">
        <v>79</v>
      </c>
      <c r="D22" s="5" t="s">
        <v>19</v>
      </c>
      <c r="E22" s="6" t="n">
        <v>45931</v>
      </c>
      <c r="F22" s="6" t="n">
        <v>46295</v>
      </c>
      <c r="G22" s="5" t="s">
        <v>80</v>
      </c>
      <c r="H22" s="5" t="s">
        <v>21</v>
      </c>
      <c r="I22" s="7" t="n">
        <v>250000</v>
      </c>
      <c r="J22" s="7" t="n">
        <v>828</v>
      </c>
      <c r="K22" s="8" t="n">
        <v>0.3</v>
      </c>
      <c r="L22" s="7" t="n">
        <f aca="false">J22*K22</f>
        <v>248.4</v>
      </c>
      <c r="M22" s="5" t="s">
        <v>27</v>
      </c>
      <c r="N22" s="5" t="s">
        <v>23</v>
      </c>
    </row>
    <row r="23" customFormat="false" ht="15" hidden="false" customHeight="true" outlineLevel="0" collapsed="false">
      <c r="A23" s="5" t="s">
        <v>81</v>
      </c>
      <c r="B23" s="5" t="s">
        <v>17</v>
      </c>
      <c r="C23" s="5" t="s">
        <v>82</v>
      </c>
      <c r="D23" s="5" t="s">
        <v>19</v>
      </c>
      <c r="E23" s="6" t="n">
        <v>45658</v>
      </c>
      <c r="F23" s="6" t="n">
        <v>46022</v>
      </c>
      <c r="G23" s="5" t="s">
        <v>83</v>
      </c>
      <c r="H23" s="5" t="s">
        <v>21</v>
      </c>
      <c r="I23" s="7" t="n">
        <v>2000000</v>
      </c>
      <c r="J23" s="7" t="n">
        <v>5315</v>
      </c>
      <c r="K23" s="8" t="n">
        <v>0.3</v>
      </c>
      <c r="L23" s="7" t="n">
        <f aca="false">J23*K23</f>
        <v>1594.5</v>
      </c>
      <c r="M23" s="5" t="s">
        <v>27</v>
      </c>
      <c r="N23" s="5" t="s">
        <v>23</v>
      </c>
    </row>
    <row r="24" customFormat="false" ht="15" hidden="false" customHeight="true" outlineLevel="0" collapsed="false">
      <c r="A24" s="5" t="s">
        <v>84</v>
      </c>
      <c r="B24" s="5" t="s">
        <v>17</v>
      </c>
      <c r="C24" s="5" t="s">
        <v>85</v>
      </c>
      <c r="D24" s="5" t="s">
        <v>58</v>
      </c>
      <c r="E24" s="6" t="n">
        <v>45658</v>
      </c>
      <c r="F24" s="6" t="n">
        <v>46022</v>
      </c>
      <c r="G24" s="5" t="s">
        <v>86</v>
      </c>
      <c r="H24" s="5" t="s">
        <v>21</v>
      </c>
      <c r="I24" s="7" t="n">
        <v>500000</v>
      </c>
      <c r="J24" s="7" t="n">
        <v>2144</v>
      </c>
      <c r="K24" s="8" t="n">
        <v>0.5</v>
      </c>
      <c r="L24" s="7" t="n">
        <f aca="false">J24*K24</f>
        <v>1072</v>
      </c>
      <c r="M24" s="5" t="s">
        <v>42</v>
      </c>
      <c r="N24" s="5" t="s">
        <v>23</v>
      </c>
    </row>
    <row r="25" customFormat="false" ht="15" hidden="false" customHeight="true" outlineLevel="0" collapsed="false">
      <c r="A25" s="9" t="s">
        <v>87</v>
      </c>
      <c r="I25" s="10" t="n">
        <f aca="false">SUM(I5:I24)</f>
        <v>11150000</v>
      </c>
      <c r="J25" s="10" t="n">
        <f aca="false">SUM(J5:J24)</f>
        <v>44407</v>
      </c>
      <c r="L25" s="10" t="n">
        <f aca="false">SUM(L5:L24)</f>
        <v>15364.2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22"/>
    <col collapsed="false" customWidth="true" hidden="false" outlineLevel="0" max="8" min="4" style="1" width="16"/>
    <col collapsed="false" customWidth="true" hidden="false" outlineLevel="0" max="9" min="9" style="1" width="38"/>
    <col collapsed="false" customWidth="true" hidden="false" outlineLevel="0" max="10" min="10" style="1" width="22"/>
    <col collapsed="false" customWidth="true" hidden="false" outlineLevel="0" max="16" min="11" style="1" width="16"/>
  </cols>
  <sheetData>
    <row r="1" customFormat="false" ht="17.2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3" t="s">
        <v>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15" hidden="false" customHeight="true" outlineLevel="0" collapsed="false">
      <c r="A4" s="4" t="s">
        <v>90</v>
      </c>
      <c r="B4" s="4" t="s">
        <v>2</v>
      </c>
      <c r="C4" s="4" t="s">
        <v>91</v>
      </c>
      <c r="D4" s="4" t="s">
        <v>92</v>
      </c>
      <c r="E4" s="4" t="s">
        <v>93</v>
      </c>
      <c r="F4" s="4" t="s">
        <v>5</v>
      </c>
      <c r="G4" s="4" t="s">
        <v>94</v>
      </c>
      <c r="H4" s="4" t="s">
        <v>95</v>
      </c>
      <c r="I4" s="4" t="s">
        <v>96</v>
      </c>
      <c r="J4" s="4" t="s">
        <v>8</v>
      </c>
      <c r="K4" s="4" t="s">
        <v>9</v>
      </c>
      <c r="L4" s="4" t="s">
        <v>97</v>
      </c>
      <c r="M4" s="4" t="s">
        <v>98</v>
      </c>
      <c r="N4" s="4" t="s">
        <v>99</v>
      </c>
      <c r="O4" s="4" t="s">
        <v>100</v>
      </c>
      <c r="P4" s="4" t="s">
        <v>15</v>
      </c>
    </row>
    <row r="5" customFormat="false" ht="15" hidden="false" customHeight="true" outlineLevel="0" collapsed="false">
      <c r="A5" s="5" t="s">
        <v>101</v>
      </c>
      <c r="B5" s="5" t="s">
        <v>31</v>
      </c>
      <c r="C5" s="5" t="s">
        <v>17</v>
      </c>
      <c r="D5" s="5" t="s">
        <v>102</v>
      </c>
      <c r="E5" s="5" t="s">
        <v>103</v>
      </c>
      <c r="F5" s="5" t="s">
        <v>33</v>
      </c>
      <c r="G5" s="6" t="n">
        <v>45933</v>
      </c>
      <c r="H5" s="6" t="n">
        <v>45934</v>
      </c>
      <c r="I5" s="5" t="s">
        <v>104</v>
      </c>
      <c r="J5" s="5" t="s">
        <v>34</v>
      </c>
      <c r="K5" s="5" t="s">
        <v>21</v>
      </c>
      <c r="L5" s="7" t="n">
        <v>2350000</v>
      </c>
      <c r="M5" s="7" t="n">
        <v>185000</v>
      </c>
      <c r="N5" s="7" t="n">
        <v>1200000</v>
      </c>
      <c r="O5" s="7" t="n">
        <f aca="false">L5+M5+N5</f>
        <v>3735000</v>
      </c>
      <c r="P5" s="5" t="s">
        <v>105</v>
      </c>
    </row>
    <row r="6" customFormat="false" ht="15" hidden="false" customHeight="true" outlineLevel="0" collapsed="false">
      <c r="A6" s="5" t="s">
        <v>106</v>
      </c>
      <c r="B6" s="5" t="s">
        <v>56</v>
      </c>
      <c r="C6" s="5" t="s">
        <v>17</v>
      </c>
      <c r="D6" s="5" t="s">
        <v>107</v>
      </c>
      <c r="E6" s="5" t="s">
        <v>108</v>
      </c>
      <c r="F6" s="5" t="s">
        <v>58</v>
      </c>
      <c r="G6" s="6" t="n">
        <v>45945</v>
      </c>
      <c r="H6" s="6" t="n">
        <v>45948</v>
      </c>
      <c r="I6" s="5" t="s">
        <v>109</v>
      </c>
      <c r="J6" s="5" t="s">
        <v>20</v>
      </c>
      <c r="K6" s="5" t="s">
        <v>21</v>
      </c>
      <c r="L6" s="7" t="n">
        <v>5400000</v>
      </c>
      <c r="M6" s="7" t="n">
        <v>1250000</v>
      </c>
      <c r="N6" s="7" t="n">
        <v>12000000</v>
      </c>
      <c r="O6" s="7" t="n">
        <f aca="false">L6+M6+N6</f>
        <v>18650000</v>
      </c>
      <c r="P6" s="5" t="s">
        <v>105</v>
      </c>
    </row>
    <row r="7" customFormat="false" ht="15" hidden="false" customHeight="true" outlineLevel="0" collapsed="false">
      <c r="A7" s="5" t="s">
        <v>110</v>
      </c>
      <c r="B7" s="5" t="s">
        <v>24</v>
      </c>
      <c r="C7" s="5" t="s">
        <v>17</v>
      </c>
      <c r="D7" s="5" t="s">
        <v>102</v>
      </c>
      <c r="E7" s="5" t="s">
        <v>111</v>
      </c>
      <c r="F7" s="5" t="s">
        <v>19</v>
      </c>
      <c r="G7" s="6" t="n">
        <v>45963</v>
      </c>
      <c r="H7" s="6" t="n">
        <v>45964</v>
      </c>
      <c r="I7" s="5" t="s">
        <v>112</v>
      </c>
      <c r="J7" s="5" t="s">
        <v>26</v>
      </c>
      <c r="K7" s="5" t="s">
        <v>21</v>
      </c>
      <c r="L7" s="7" t="n">
        <v>890000</v>
      </c>
      <c r="M7" s="7" t="n">
        <v>67000</v>
      </c>
      <c r="N7" s="7" t="n">
        <v>350000</v>
      </c>
      <c r="O7" s="7" t="n">
        <f aca="false">L7+M7+N7</f>
        <v>1307000</v>
      </c>
      <c r="P7" s="5" t="s">
        <v>105</v>
      </c>
    </row>
    <row r="8" customFormat="false" ht="15" hidden="false" customHeight="true" outlineLevel="0" collapsed="false">
      <c r="A8" s="5" t="s">
        <v>113</v>
      </c>
      <c r="B8" s="5" t="s">
        <v>39</v>
      </c>
      <c r="C8" s="5" t="s">
        <v>17</v>
      </c>
      <c r="D8" s="5" t="s">
        <v>102</v>
      </c>
      <c r="E8" s="5" t="s">
        <v>114</v>
      </c>
      <c r="F8" s="5" t="s">
        <v>33</v>
      </c>
      <c r="G8" s="6" t="n">
        <v>45981</v>
      </c>
      <c r="H8" s="6" t="n">
        <v>45982</v>
      </c>
      <c r="I8" s="5" t="s">
        <v>115</v>
      </c>
      <c r="J8" s="5" t="s">
        <v>41</v>
      </c>
      <c r="K8" s="5" t="s">
        <v>21</v>
      </c>
      <c r="L8" s="7" t="n">
        <v>1750000</v>
      </c>
      <c r="M8" s="7" t="n">
        <v>142000</v>
      </c>
      <c r="N8" s="7" t="n">
        <v>2800000</v>
      </c>
      <c r="O8" s="7" t="n">
        <f aca="false">L8+M8+N8</f>
        <v>4692000</v>
      </c>
      <c r="P8" s="5" t="s">
        <v>105</v>
      </c>
    </row>
    <row r="9" customFormat="false" ht="15" hidden="false" customHeight="true" outlineLevel="0" collapsed="false">
      <c r="A9" s="5" t="s">
        <v>116</v>
      </c>
      <c r="B9" s="5" t="s">
        <v>62</v>
      </c>
      <c r="C9" s="5" t="s">
        <v>17</v>
      </c>
      <c r="D9" s="5" t="s">
        <v>102</v>
      </c>
      <c r="E9" s="5" t="s">
        <v>117</v>
      </c>
      <c r="F9" s="5" t="s">
        <v>64</v>
      </c>
      <c r="G9" s="6" t="n">
        <v>45933</v>
      </c>
      <c r="H9" s="6" t="n">
        <v>45940</v>
      </c>
      <c r="I9" s="5" t="s">
        <v>118</v>
      </c>
      <c r="J9" s="5" t="s">
        <v>34</v>
      </c>
      <c r="K9" s="5" t="s">
        <v>21</v>
      </c>
      <c r="L9" s="7" t="n">
        <v>4200000</v>
      </c>
      <c r="M9" s="7" t="n">
        <v>95000</v>
      </c>
      <c r="N9" s="7" t="n">
        <v>3500000</v>
      </c>
      <c r="O9" s="7" t="n">
        <f aca="false">L9+M9+N9</f>
        <v>7795000</v>
      </c>
      <c r="P9" s="5" t="s">
        <v>105</v>
      </c>
    </row>
    <row r="10" customFormat="false" ht="15" hidden="false" customHeight="true" outlineLevel="0" collapsed="false">
      <c r="A10" s="5" t="s">
        <v>119</v>
      </c>
      <c r="B10" s="5" t="s">
        <v>46</v>
      </c>
      <c r="C10" s="5" t="s">
        <v>17</v>
      </c>
      <c r="D10" s="5" t="s">
        <v>102</v>
      </c>
      <c r="E10" s="5" t="s">
        <v>120</v>
      </c>
      <c r="F10" s="5" t="s">
        <v>19</v>
      </c>
      <c r="G10" s="6" t="n">
        <v>45992</v>
      </c>
      <c r="H10" s="6" t="n">
        <v>45993</v>
      </c>
      <c r="I10" s="5" t="s">
        <v>121</v>
      </c>
      <c r="J10" s="5" t="s">
        <v>48</v>
      </c>
      <c r="K10" s="5" t="s">
        <v>21</v>
      </c>
      <c r="L10" s="7" t="n">
        <v>320000</v>
      </c>
      <c r="M10" s="7" t="n">
        <v>28000</v>
      </c>
      <c r="N10" s="7" t="n">
        <v>0</v>
      </c>
      <c r="O10" s="7" t="n">
        <f aca="false">L10+M10+N10</f>
        <v>348000</v>
      </c>
      <c r="P10" s="5" t="s">
        <v>122</v>
      </c>
    </row>
    <row r="11" customFormat="false" ht="15" hidden="false" customHeight="true" outlineLevel="0" collapsed="false">
      <c r="A11" s="5" t="s">
        <v>123</v>
      </c>
      <c r="B11" s="5" t="s">
        <v>60</v>
      </c>
      <c r="C11" s="5" t="s">
        <v>17</v>
      </c>
      <c r="D11" s="5" t="s">
        <v>124</v>
      </c>
      <c r="E11" s="5" t="s">
        <v>108</v>
      </c>
      <c r="F11" s="5" t="s">
        <v>58</v>
      </c>
      <c r="G11" s="6" t="n">
        <v>45962</v>
      </c>
      <c r="H11" s="6" t="n">
        <v>45976</v>
      </c>
      <c r="I11" s="5" t="s">
        <v>125</v>
      </c>
      <c r="J11" s="5" t="s">
        <v>55</v>
      </c>
      <c r="K11" s="5" t="s">
        <v>21</v>
      </c>
      <c r="L11" s="7" t="n">
        <v>3200000</v>
      </c>
      <c r="M11" s="7" t="n">
        <v>480000</v>
      </c>
      <c r="N11" s="7" t="n">
        <v>0</v>
      </c>
      <c r="O11" s="7" t="n">
        <f aca="false">L11+M11+N11</f>
        <v>3680000</v>
      </c>
      <c r="P11" s="5" t="s">
        <v>122</v>
      </c>
    </row>
    <row r="12" customFormat="false" ht="15" hidden="false" customHeight="true" outlineLevel="0" collapsed="false">
      <c r="A12" s="5" t="s">
        <v>126</v>
      </c>
      <c r="B12" s="5" t="s">
        <v>69</v>
      </c>
      <c r="C12" s="5" t="s">
        <v>17</v>
      </c>
      <c r="D12" s="5" t="s">
        <v>102</v>
      </c>
      <c r="E12" s="5" t="s">
        <v>127</v>
      </c>
      <c r="F12" s="5" t="s">
        <v>33</v>
      </c>
      <c r="G12" s="6" t="n">
        <v>46001</v>
      </c>
      <c r="H12" s="6" t="n">
        <v>46002</v>
      </c>
      <c r="I12" s="5" t="s">
        <v>128</v>
      </c>
      <c r="J12" s="5" t="s">
        <v>71</v>
      </c>
      <c r="K12" s="5" t="s">
        <v>21</v>
      </c>
      <c r="L12" s="7" t="n">
        <v>0</v>
      </c>
      <c r="M12" s="7" t="n">
        <v>15000</v>
      </c>
      <c r="N12" s="7" t="n">
        <v>950000</v>
      </c>
      <c r="O12" s="7" t="n">
        <f aca="false">L12+M12+N12</f>
        <v>965000</v>
      </c>
      <c r="P12" s="5" t="s">
        <v>105</v>
      </c>
    </row>
    <row r="13" customFormat="false" ht="15" hidden="false" customHeight="true" outlineLevel="0" collapsed="false">
      <c r="A13" s="9" t="s">
        <v>87</v>
      </c>
      <c r="L13" s="10" t="n">
        <f aca="false">SUM(L5:L12)</f>
        <v>18110000</v>
      </c>
      <c r="M13" s="10" t="n">
        <f aca="false">SUM(M5:M12)</f>
        <v>2262000</v>
      </c>
      <c r="N13" s="10" t="n">
        <f aca="false">SUM(N5:N12)</f>
        <v>20800000</v>
      </c>
      <c r="O13" s="10" t="n">
        <f aca="false">SUM(O5:O12)</f>
        <v>41172000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28"/>
    <col collapsed="false" customWidth="true" hidden="false" outlineLevel="0" max="18" min="4" style="1" width="16"/>
  </cols>
  <sheetData>
    <row r="1" customFormat="false" ht="17.25" hidden="false" customHeight="true" outlineLevel="0" collapsed="false">
      <c r="A1" s="2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true" outlineLevel="0" collapsed="false">
      <c r="A2" s="3" t="s">
        <v>130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15" hidden="false" customHeight="true" outlineLevel="0" collapsed="false">
      <c r="A4" s="4" t="s">
        <v>131</v>
      </c>
      <c r="B4" s="4" t="s">
        <v>132</v>
      </c>
      <c r="C4" s="4" t="s">
        <v>133</v>
      </c>
      <c r="D4" s="4" t="s">
        <v>134</v>
      </c>
      <c r="E4" s="4" t="s">
        <v>135</v>
      </c>
      <c r="F4" s="4" t="s">
        <v>136</v>
      </c>
      <c r="G4" s="4" t="s">
        <v>137</v>
      </c>
      <c r="H4" s="4" t="s">
        <v>138</v>
      </c>
      <c r="I4" s="4" t="s">
        <v>139</v>
      </c>
      <c r="J4" s="4" t="s">
        <v>140</v>
      </c>
      <c r="K4" s="4" t="s">
        <v>141</v>
      </c>
      <c r="L4" s="4" t="s">
        <v>142</v>
      </c>
      <c r="M4" s="4" t="s">
        <v>143</v>
      </c>
      <c r="N4" s="4" t="s">
        <v>144</v>
      </c>
      <c r="O4" s="4" t="s">
        <v>145</v>
      </c>
      <c r="P4" s="4" t="s">
        <v>146</v>
      </c>
      <c r="Q4" s="4" t="s">
        <v>147</v>
      </c>
      <c r="R4" s="4" t="s">
        <v>148</v>
      </c>
    </row>
    <row r="5" customFormat="false" ht="15" hidden="false" customHeight="true" outlineLevel="0" collapsed="false">
      <c r="A5" s="5" t="n">
        <v>1</v>
      </c>
      <c r="B5" s="5" t="s">
        <v>149</v>
      </c>
      <c r="C5" s="5" t="s">
        <v>150</v>
      </c>
      <c r="D5" s="5" t="s">
        <v>151</v>
      </c>
      <c r="E5" s="5" t="s">
        <v>152</v>
      </c>
      <c r="F5" s="5" t="s">
        <v>153</v>
      </c>
      <c r="G5" s="5" t="s">
        <v>154</v>
      </c>
      <c r="H5" s="5" t="s">
        <v>155</v>
      </c>
      <c r="I5" s="5" t="n">
        <v>4</v>
      </c>
      <c r="J5" s="5" t="n">
        <v>2009</v>
      </c>
      <c r="K5" s="5" t="s">
        <v>156</v>
      </c>
      <c r="L5" s="5" t="s">
        <v>157</v>
      </c>
      <c r="M5" s="7" t="n">
        <v>450000</v>
      </c>
      <c r="N5" s="7" t="n">
        <v>120000</v>
      </c>
      <c r="O5" s="7" t="n">
        <v>380000</v>
      </c>
      <c r="P5" s="7" t="n">
        <f aca="false">M5+N5+O5</f>
        <v>950000</v>
      </c>
      <c r="Q5" s="5" t="s">
        <v>158</v>
      </c>
      <c r="R5" s="5" t="s">
        <v>159</v>
      </c>
    </row>
    <row r="6" customFormat="false" ht="15" hidden="false" customHeight="true" outlineLevel="0" collapsed="false">
      <c r="A6" s="5" t="n">
        <v>2</v>
      </c>
      <c r="B6" s="5" t="s">
        <v>160</v>
      </c>
      <c r="C6" s="5" t="s">
        <v>161</v>
      </c>
      <c r="D6" s="5" t="s">
        <v>151</v>
      </c>
      <c r="E6" s="5" t="s">
        <v>152</v>
      </c>
      <c r="F6" s="5" t="s">
        <v>153</v>
      </c>
      <c r="G6" s="5" t="s">
        <v>154</v>
      </c>
      <c r="H6" s="5" t="s">
        <v>155</v>
      </c>
      <c r="I6" s="5" t="n">
        <v>3</v>
      </c>
      <c r="J6" s="5" t="n">
        <v>1992</v>
      </c>
      <c r="K6" s="5" t="s">
        <v>162</v>
      </c>
      <c r="L6" s="5" t="s">
        <v>157</v>
      </c>
      <c r="M6" s="7" t="n">
        <v>280000</v>
      </c>
      <c r="N6" s="7" t="n">
        <v>95000</v>
      </c>
      <c r="O6" s="7" t="n">
        <v>250000</v>
      </c>
      <c r="P6" s="7" t="n">
        <f aca="false">M6+N6+O6</f>
        <v>625000</v>
      </c>
      <c r="Q6" s="5" t="s">
        <v>158</v>
      </c>
      <c r="R6" s="5" t="s">
        <v>159</v>
      </c>
    </row>
    <row r="7" customFormat="false" ht="15" hidden="false" customHeight="true" outlineLevel="0" collapsed="false">
      <c r="A7" s="5" t="n">
        <v>3</v>
      </c>
      <c r="B7" s="5" t="s">
        <v>163</v>
      </c>
      <c r="C7" s="5" t="s">
        <v>164</v>
      </c>
      <c r="D7" s="5" t="s">
        <v>151</v>
      </c>
      <c r="E7" s="5" t="s">
        <v>152</v>
      </c>
      <c r="F7" s="5" t="s">
        <v>153</v>
      </c>
      <c r="G7" s="5" t="s">
        <v>154</v>
      </c>
      <c r="H7" s="5" t="s">
        <v>155</v>
      </c>
      <c r="I7" s="5" t="n">
        <v>6</v>
      </c>
      <c r="J7" s="5" t="n">
        <v>2020</v>
      </c>
      <c r="K7" s="5" t="s">
        <v>165</v>
      </c>
      <c r="L7" s="5" t="s">
        <v>157</v>
      </c>
      <c r="M7" s="7" t="n">
        <v>680000</v>
      </c>
      <c r="N7" s="7" t="n">
        <v>180000</v>
      </c>
      <c r="O7" s="7" t="n">
        <v>520000</v>
      </c>
      <c r="P7" s="7" t="n">
        <f aca="false">M7+N7+O7</f>
        <v>1380000</v>
      </c>
      <c r="Q7" s="5" t="s">
        <v>158</v>
      </c>
      <c r="R7" s="5" t="s">
        <v>159</v>
      </c>
    </row>
    <row r="8" customFormat="false" ht="15" hidden="false" customHeight="true" outlineLevel="0" collapsed="false">
      <c r="A8" s="5" t="n">
        <v>4</v>
      </c>
      <c r="B8" s="5" t="s">
        <v>166</v>
      </c>
      <c r="C8" s="5" t="s">
        <v>167</v>
      </c>
      <c r="D8" s="5" t="s">
        <v>168</v>
      </c>
      <c r="E8" s="5" t="s">
        <v>152</v>
      </c>
      <c r="F8" s="5" t="s">
        <v>153</v>
      </c>
      <c r="G8" s="5" t="s">
        <v>169</v>
      </c>
      <c r="H8" s="5" t="s">
        <v>170</v>
      </c>
      <c r="I8" s="5" t="n">
        <v>2</v>
      </c>
      <c r="J8" s="5" t="n">
        <v>2018</v>
      </c>
      <c r="K8" s="5" t="s">
        <v>33</v>
      </c>
      <c r="L8" s="5" t="s">
        <v>157</v>
      </c>
      <c r="M8" s="7" t="n">
        <v>1200000</v>
      </c>
      <c r="N8" s="7" t="n">
        <v>2500000</v>
      </c>
      <c r="O8" s="7" t="n">
        <v>4800000</v>
      </c>
      <c r="P8" s="7" t="n">
        <f aca="false">M8+N8+O8</f>
        <v>8500000</v>
      </c>
      <c r="Q8" s="5" t="s">
        <v>171</v>
      </c>
      <c r="R8" s="5" t="s">
        <v>159</v>
      </c>
    </row>
    <row r="9" customFormat="false" ht="15" hidden="false" customHeight="true" outlineLevel="0" collapsed="false">
      <c r="A9" s="5" t="n">
        <v>5</v>
      </c>
      <c r="B9" s="5" t="s">
        <v>172</v>
      </c>
      <c r="C9" s="5" t="s">
        <v>173</v>
      </c>
      <c r="D9" s="5" t="s">
        <v>174</v>
      </c>
      <c r="E9" s="5" t="s">
        <v>175</v>
      </c>
      <c r="F9" s="5" t="s">
        <v>153</v>
      </c>
      <c r="G9" s="5" t="s">
        <v>176</v>
      </c>
      <c r="H9" s="5" t="s">
        <v>170</v>
      </c>
      <c r="I9" s="5" t="n">
        <v>2</v>
      </c>
      <c r="J9" s="5" t="n">
        <v>2016</v>
      </c>
      <c r="K9" s="5" t="s">
        <v>33</v>
      </c>
      <c r="L9" s="5" t="s">
        <v>157</v>
      </c>
      <c r="M9" s="7" t="n">
        <v>980000</v>
      </c>
      <c r="N9" s="7" t="n">
        <v>2100000</v>
      </c>
      <c r="O9" s="7" t="n">
        <v>3900000</v>
      </c>
      <c r="P9" s="7" t="n">
        <f aca="false">M9+N9+O9</f>
        <v>6980000</v>
      </c>
      <c r="Q9" s="5" t="s">
        <v>159</v>
      </c>
      <c r="R9" s="5" t="s">
        <v>158</v>
      </c>
    </row>
    <row r="10" customFormat="false" ht="15" hidden="false" customHeight="true" outlineLevel="0" collapsed="false">
      <c r="A10" s="5" t="n">
        <v>6</v>
      </c>
      <c r="B10" s="5" t="s">
        <v>177</v>
      </c>
      <c r="C10" s="5" t="s">
        <v>178</v>
      </c>
      <c r="D10" s="5" t="s">
        <v>179</v>
      </c>
      <c r="E10" s="5" t="s">
        <v>180</v>
      </c>
      <c r="F10" s="5" t="s">
        <v>153</v>
      </c>
      <c r="G10" s="5" t="s">
        <v>181</v>
      </c>
      <c r="H10" s="5" t="s">
        <v>170</v>
      </c>
      <c r="I10" s="5" t="n">
        <v>2</v>
      </c>
      <c r="J10" s="5" t="n">
        <v>2014</v>
      </c>
      <c r="K10" s="5" t="s">
        <v>33</v>
      </c>
      <c r="L10" s="5" t="s">
        <v>157</v>
      </c>
      <c r="M10" s="7" t="n">
        <v>850000</v>
      </c>
      <c r="N10" s="7" t="n">
        <v>1800000</v>
      </c>
      <c r="O10" s="7" t="n">
        <v>3200000</v>
      </c>
      <c r="P10" s="7" t="n">
        <f aca="false">M10+N10+O10</f>
        <v>5850000</v>
      </c>
      <c r="Q10" s="5" t="s">
        <v>171</v>
      </c>
      <c r="R10" s="5" t="s">
        <v>171</v>
      </c>
    </row>
    <row r="11" customFormat="false" ht="15" hidden="false" customHeight="true" outlineLevel="0" collapsed="false">
      <c r="A11" s="5" t="n">
        <v>7</v>
      </c>
      <c r="B11" s="5" t="s">
        <v>182</v>
      </c>
      <c r="C11" s="5" t="s">
        <v>183</v>
      </c>
      <c r="D11" s="5" t="s">
        <v>184</v>
      </c>
      <c r="E11" s="5" t="s">
        <v>185</v>
      </c>
      <c r="F11" s="5" t="s">
        <v>153</v>
      </c>
      <c r="G11" s="5" t="s">
        <v>186</v>
      </c>
      <c r="H11" s="5" t="s">
        <v>170</v>
      </c>
      <c r="I11" s="5" t="n">
        <v>2</v>
      </c>
      <c r="J11" s="5" t="n">
        <v>2020</v>
      </c>
      <c r="K11" s="5" t="s">
        <v>33</v>
      </c>
      <c r="L11" s="5" t="s">
        <v>157</v>
      </c>
      <c r="M11" s="7" t="n">
        <v>1100000</v>
      </c>
      <c r="N11" s="7" t="n">
        <v>2300000</v>
      </c>
      <c r="O11" s="7" t="n">
        <v>4500000</v>
      </c>
      <c r="P11" s="7" t="n">
        <f aca="false">M11+N11+O11</f>
        <v>7900000</v>
      </c>
      <c r="Q11" s="5" t="s">
        <v>159</v>
      </c>
      <c r="R11" s="5" t="s">
        <v>171</v>
      </c>
    </row>
    <row r="12" customFormat="false" ht="15" hidden="false" customHeight="true" outlineLevel="0" collapsed="false">
      <c r="A12" s="5" t="n">
        <v>8</v>
      </c>
      <c r="B12" s="5" t="s">
        <v>187</v>
      </c>
      <c r="C12" s="5" t="s">
        <v>188</v>
      </c>
      <c r="D12" s="5" t="s">
        <v>189</v>
      </c>
      <c r="E12" s="5" t="s">
        <v>190</v>
      </c>
      <c r="F12" s="5" t="s">
        <v>153</v>
      </c>
      <c r="G12" s="5" t="s">
        <v>191</v>
      </c>
      <c r="H12" s="5" t="s">
        <v>170</v>
      </c>
      <c r="I12" s="5" t="n">
        <v>2</v>
      </c>
      <c r="J12" s="5" t="n">
        <v>2022</v>
      </c>
      <c r="K12" s="5" t="s">
        <v>33</v>
      </c>
      <c r="L12" s="5" t="s">
        <v>157</v>
      </c>
      <c r="M12" s="7" t="n">
        <v>1350000</v>
      </c>
      <c r="N12" s="7" t="n">
        <v>2800000</v>
      </c>
      <c r="O12" s="7" t="n">
        <v>5200000</v>
      </c>
      <c r="P12" s="7" t="n">
        <f aca="false">M12+N12+O12</f>
        <v>9350000</v>
      </c>
      <c r="Q12" s="5" t="s">
        <v>171</v>
      </c>
      <c r="R12" s="5" t="s">
        <v>159</v>
      </c>
    </row>
    <row r="13" customFormat="false" ht="15" hidden="false" customHeight="true" outlineLevel="0" collapsed="false">
      <c r="A13" s="5" t="n">
        <v>9</v>
      </c>
      <c r="B13" s="5" t="s">
        <v>192</v>
      </c>
      <c r="C13" s="5" t="s">
        <v>193</v>
      </c>
      <c r="D13" s="5" t="s">
        <v>194</v>
      </c>
      <c r="E13" s="5" t="s">
        <v>195</v>
      </c>
      <c r="F13" s="5" t="s">
        <v>153</v>
      </c>
      <c r="G13" s="5" t="s">
        <v>196</v>
      </c>
      <c r="H13" s="5" t="s">
        <v>170</v>
      </c>
      <c r="I13" s="5" t="n">
        <v>2</v>
      </c>
      <c r="J13" s="5" t="n">
        <v>2019</v>
      </c>
      <c r="K13" s="5" t="s">
        <v>33</v>
      </c>
      <c r="L13" s="5" t="s">
        <v>157</v>
      </c>
      <c r="M13" s="7" t="n">
        <v>920000</v>
      </c>
      <c r="N13" s="7" t="n">
        <v>1950000</v>
      </c>
      <c r="O13" s="7" t="n">
        <v>3600000</v>
      </c>
      <c r="P13" s="7" t="n">
        <f aca="false">M13+N13+O13</f>
        <v>6470000</v>
      </c>
      <c r="Q13" s="5" t="s">
        <v>159</v>
      </c>
      <c r="R13" s="5" t="s">
        <v>171</v>
      </c>
    </row>
    <row r="14" customFormat="false" ht="15" hidden="false" customHeight="true" outlineLevel="0" collapsed="false">
      <c r="A14" s="5" t="n">
        <v>10</v>
      </c>
      <c r="B14" s="5" t="s">
        <v>197</v>
      </c>
      <c r="C14" s="5" t="s">
        <v>198</v>
      </c>
      <c r="D14" s="5" t="s">
        <v>199</v>
      </c>
      <c r="E14" s="5" t="s">
        <v>200</v>
      </c>
      <c r="F14" s="5" t="s">
        <v>201</v>
      </c>
      <c r="G14" s="5" t="s">
        <v>202</v>
      </c>
      <c r="H14" s="5" t="s">
        <v>203</v>
      </c>
      <c r="I14" s="5" t="n">
        <v>5</v>
      </c>
      <c r="J14" s="5" t="n">
        <v>2017</v>
      </c>
      <c r="K14" s="5" t="s">
        <v>204</v>
      </c>
      <c r="L14" s="5" t="s">
        <v>157</v>
      </c>
      <c r="M14" s="7" t="n">
        <v>350000</v>
      </c>
      <c r="N14" s="7" t="n">
        <v>85000</v>
      </c>
      <c r="O14" s="7" t="n">
        <v>290000</v>
      </c>
      <c r="P14" s="7" t="n">
        <f aca="false">M14+N14+O14</f>
        <v>725000</v>
      </c>
      <c r="Q14" s="5" t="s">
        <v>159</v>
      </c>
      <c r="R14" s="5" t="s">
        <v>159</v>
      </c>
    </row>
    <row r="15" customFormat="false" ht="15" hidden="false" customHeight="true" outlineLevel="0" collapsed="false">
      <c r="A15" s="5" t="n">
        <v>11</v>
      </c>
      <c r="B15" s="5" t="s">
        <v>205</v>
      </c>
      <c r="C15" s="5" t="s">
        <v>206</v>
      </c>
      <c r="D15" s="5" t="s">
        <v>207</v>
      </c>
      <c r="E15" s="5" t="s">
        <v>208</v>
      </c>
      <c r="F15" s="5" t="s">
        <v>209</v>
      </c>
      <c r="G15" s="5" t="s">
        <v>210</v>
      </c>
      <c r="H15" s="5" t="s">
        <v>155</v>
      </c>
      <c r="I15" s="5" t="n">
        <v>8</v>
      </c>
      <c r="J15" s="5" t="n">
        <v>2015</v>
      </c>
      <c r="K15" s="5" t="s">
        <v>211</v>
      </c>
      <c r="L15" s="5" t="s">
        <v>157</v>
      </c>
      <c r="M15" s="7" t="n">
        <v>280000</v>
      </c>
      <c r="N15" s="7" t="n">
        <v>60000</v>
      </c>
      <c r="O15" s="7" t="n">
        <v>200000</v>
      </c>
      <c r="P15" s="7" t="n">
        <f aca="false">M15+N15+O15</f>
        <v>540000</v>
      </c>
      <c r="Q15" s="5" t="s">
        <v>159</v>
      </c>
      <c r="R15" s="5" t="s">
        <v>159</v>
      </c>
    </row>
    <row r="16" customFormat="false" ht="15" hidden="false" customHeight="true" outlineLevel="0" collapsed="false">
      <c r="A16" s="5" t="n">
        <v>12</v>
      </c>
      <c r="B16" s="5" t="s">
        <v>212</v>
      </c>
      <c r="C16" s="5" t="s">
        <v>213</v>
      </c>
      <c r="D16" s="5" t="s">
        <v>214</v>
      </c>
      <c r="E16" s="5" t="s">
        <v>215</v>
      </c>
      <c r="F16" s="5" t="s">
        <v>216</v>
      </c>
      <c r="G16" s="5" t="s">
        <v>217</v>
      </c>
      <c r="H16" s="5" t="s">
        <v>155</v>
      </c>
      <c r="I16" s="5" t="n">
        <v>7</v>
      </c>
      <c r="J16" s="5" t="n">
        <v>2019</v>
      </c>
      <c r="K16" s="5" t="s">
        <v>162</v>
      </c>
      <c r="L16" s="5" t="s">
        <v>157</v>
      </c>
      <c r="M16" s="7" t="n">
        <v>180000</v>
      </c>
      <c r="N16" s="7" t="n">
        <v>42000</v>
      </c>
      <c r="O16" s="7" t="n">
        <v>150000</v>
      </c>
      <c r="P16" s="7" t="n">
        <f aca="false">M16+N16+O16</f>
        <v>372000</v>
      </c>
      <c r="Q16" s="5" t="s">
        <v>158</v>
      </c>
      <c r="R16" s="5" t="s">
        <v>159</v>
      </c>
    </row>
    <row r="17" customFormat="false" ht="15" hidden="false" customHeight="true" outlineLevel="0" collapsed="false">
      <c r="A17" s="5" t="n">
        <v>13</v>
      </c>
      <c r="B17" s="5" t="s">
        <v>218</v>
      </c>
      <c r="C17" s="5" t="s">
        <v>219</v>
      </c>
      <c r="D17" s="5" t="s">
        <v>51</v>
      </c>
      <c r="E17" s="5" t="s">
        <v>51</v>
      </c>
      <c r="F17" s="5" t="s">
        <v>220</v>
      </c>
      <c r="G17" s="5" t="s">
        <v>221</v>
      </c>
      <c r="H17" s="5" t="s">
        <v>155</v>
      </c>
      <c r="I17" s="5" t="n">
        <v>3</v>
      </c>
      <c r="J17" s="5" t="n">
        <v>2016</v>
      </c>
      <c r="K17" s="5" t="s">
        <v>211</v>
      </c>
      <c r="L17" s="5" t="s">
        <v>157</v>
      </c>
      <c r="M17" s="7" t="n">
        <v>120000</v>
      </c>
      <c r="N17" s="7" t="n">
        <v>35000</v>
      </c>
      <c r="O17" s="7" t="n">
        <v>100000</v>
      </c>
      <c r="P17" s="7" t="n">
        <f aca="false">M17+N17+O17</f>
        <v>255000</v>
      </c>
      <c r="Q17" s="5" t="s">
        <v>159</v>
      </c>
      <c r="R17" s="5" t="s">
        <v>159</v>
      </c>
    </row>
    <row r="18" customFormat="false" ht="15" hidden="false" customHeight="true" outlineLevel="0" collapsed="false">
      <c r="A18" s="5" t="n">
        <v>14</v>
      </c>
      <c r="B18" s="5" t="s">
        <v>222</v>
      </c>
      <c r="C18" s="5" t="s">
        <v>223</v>
      </c>
      <c r="D18" s="5" t="s">
        <v>224</v>
      </c>
      <c r="E18" s="5" t="s">
        <v>224</v>
      </c>
      <c r="F18" s="5" t="s">
        <v>225</v>
      </c>
      <c r="G18" s="5" t="s">
        <v>226</v>
      </c>
      <c r="H18" s="5" t="s">
        <v>155</v>
      </c>
      <c r="I18" s="5" t="n">
        <v>4</v>
      </c>
      <c r="J18" s="5" t="n">
        <v>2011</v>
      </c>
      <c r="K18" s="5" t="s">
        <v>211</v>
      </c>
      <c r="L18" s="5" t="s">
        <v>157</v>
      </c>
      <c r="M18" s="7" t="n">
        <v>190000</v>
      </c>
      <c r="N18" s="7" t="n">
        <v>48000</v>
      </c>
      <c r="O18" s="7" t="n">
        <v>160000</v>
      </c>
      <c r="P18" s="7" t="n">
        <f aca="false">M18+N18+O18</f>
        <v>398000</v>
      </c>
      <c r="Q18" s="5" t="s">
        <v>227</v>
      </c>
      <c r="R18" s="5" t="s">
        <v>171</v>
      </c>
    </row>
    <row r="19" customFormat="false" ht="15" hidden="false" customHeight="true" outlineLevel="0" collapsed="false">
      <c r="A19" s="5" t="n">
        <v>15</v>
      </c>
      <c r="B19" s="5" t="s">
        <v>228</v>
      </c>
      <c r="C19" s="5" t="s">
        <v>229</v>
      </c>
      <c r="D19" s="5" t="s">
        <v>230</v>
      </c>
      <c r="E19" s="5" t="s">
        <v>231</v>
      </c>
      <c r="F19" s="5" t="s">
        <v>232</v>
      </c>
      <c r="G19" s="5" t="s">
        <v>233</v>
      </c>
      <c r="H19" s="5" t="s">
        <v>155</v>
      </c>
      <c r="I19" s="5" t="n">
        <v>3</v>
      </c>
      <c r="J19" s="5" t="n">
        <v>2018</v>
      </c>
      <c r="K19" s="5" t="s">
        <v>211</v>
      </c>
      <c r="L19" s="5" t="s">
        <v>157</v>
      </c>
      <c r="M19" s="7" t="n">
        <v>140000</v>
      </c>
      <c r="N19" s="7" t="n">
        <v>38000</v>
      </c>
      <c r="O19" s="7" t="n">
        <v>110000</v>
      </c>
      <c r="P19" s="7" t="n">
        <f aca="false">M19+N19+O19</f>
        <v>288000</v>
      </c>
      <c r="Q19" s="5" t="s">
        <v>171</v>
      </c>
      <c r="R19" s="5" t="s">
        <v>171</v>
      </c>
    </row>
    <row r="20" customFormat="false" ht="15" hidden="false" customHeight="true" outlineLevel="0" collapsed="false">
      <c r="A20" s="5" t="n">
        <v>16</v>
      </c>
      <c r="B20" s="5" t="s">
        <v>234</v>
      </c>
      <c r="C20" s="5" t="s">
        <v>235</v>
      </c>
      <c r="D20" s="5" t="s">
        <v>236</v>
      </c>
      <c r="E20" s="5" t="s">
        <v>237</v>
      </c>
      <c r="F20" s="5" t="s">
        <v>238</v>
      </c>
      <c r="G20" s="5" t="s">
        <v>239</v>
      </c>
      <c r="H20" s="5" t="s">
        <v>203</v>
      </c>
      <c r="I20" s="5" t="n">
        <v>4</v>
      </c>
      <c r="J20" s="5" t="n">
        <v>2014</v>
      </c>
      <c r="K20" s="5" t="s">
        <v>211</v>
      </c>
      <c r="L20" s="5" t="s">
        <v>157</v>
      </c>
      <c r="M20" s="7" t="n">
        <v>95000</v>
      </c>
      <c r="N20" s="7" t="n">
        <v>22000</v>
      </c>
      <c r="O20" s="7" t="n">
        <v>78000</v>
      </c>
      <c r="P20" s="7" t="n">
        <f aca="false">M20+N20+O20</f>
        <v>195000</v>
      </c>
      <c r="Q20" s="5" t="s">
        <v>159</v>
      </c>
      <c r="R20" s="5" t="s">
        <v>159</v>
      </c>
    </row>
    <row r="21" customFormat="false" ht="15" hidden="false" customHeight="true" outlineLevel="0" collapsed="false">
      <c r="A21" s="5" t="n">
        <v>17</v>
      </c>
      <c r="B21" s="5" t="s">
        <v>240</v>
      </c>
      <c r="C21" s="5" t="s">
        <v>241</v>
      </c>
      <c r="D21" s="5" t="s">
        <v>242</v>
      </c>
      <c r="E21" s="5" t="s">
        <v>243</v>
      </c>
      <c r="F21" s="5" t="s">
        <v>244</v>
      </c>
      <c r="G21" s="5" t="s">
        <v>245</v>
      </c>
      <c r="H21" s="5" t="s">
        <v>170</v>
      </c>
      <c r="I21" s="5" t="n">
        <v>2</v>
      </c>
      <c r="J21" s="5" t="n">
        <v>2021</v>
      </c>
      <c r="K21" s="5" t="s">
        <v>33</v>
      </c>
      <c r="L21" s="5" t="s">
        <v>157</v>
      </c>
      <c r="M21" s="7" t="n">
        <v>780000</v>
      </c>
      <c r="N21" s="7" t="n">
        <v>1650000</v>
      </c>
      <c r="O21" s="7" t="n">
        <v>3100000</v>
      </c>
      <c r="P21" s="7" t="n">
        <f aca="false">M21+N21+O21</f>
        <v>5530000</v>
      </c>
      <c r="Q21" s="5" t="s">
        <v>159</v>
      </c>
      <c r="R21" s="5" t="s">
        <v>171</v>
      </c>
    </row>
    <row r="22" customFormat="false" ht="15" hidden="false" customHeight="true" outlineLevel="0" collapsed="false">
      <c r="A22" s="5" t="n">
        <v>18</v>
      </c>
      <c r="B22" s="5" t="s">
        <v>246</v>
      </c>
      <c r="C22" s="5" t="s">
        <v>247</v>
      </c>
      <c r="D22" s="5" t="s">
        <v>248</v>
      </c>
      <c r="E22" s="5" t="s">
        <v>248</v>
      </c>
      <c r="F22" s="5" t="s">
        <v>195</v>
      </c>
      <c r="G22" s="5" t="s">
        <v>249</v>
      </c>
      <c r="H22" s="5" t="s">
        <v>155</v>
      </c>
      <c r="I22" s="5" t="n">
        <v>6</v>
      </c>
      <c r="J22" s="5" t="n">
        <v>2020</v>
      </c>
      <c r="K22" s="5" t="s">
        <v>162</v>
      </c>
      <c r="L22" s="5" t="s">
        <v>157</v>
      </c>
      <c r="M22" s="7" t="n">
        <v>160000</v>
      </c>
      <c r="N22" s="7" t="n">
        <v>40000</v>
      </c>
      <c r="O22" s="7" t="n">
        <v>130000</v>
      </c>
      <c r="P22" s="7" t="n">
        <f aca="false">M22+N22+O22</f>
        <v>330000</v>
      </c>
      <c r="Q22" s="5" t="s">
        <v>171</v>
      </c>
      <c r="R22" s="5" t="s">
        <v>159</v>
      </c>
    </row>
    <row r="23" customFormat="false" ht="15" hidden="false" customHeight="true" outlineLevel="0" collapsed="false">
      <c r="A23" s="9" t="s">
        <v>87</v>
      </c>
      <c r="M23" s="10" t="n">
        <f aca="false">SUM(M5:M22)</f>
        <v>10105000</v>
      </c>
      <c r="N23" s="10" t="n">
        <f aca="false">SUM(N5:N22)</f>
        <v>15865000</v>
      </c>
      <c r="O23" s="10" t="n">
        <f aca="false">SUM(O5:O22)</f>
        <v>30668000</v>
      </c>
      <c r="P23" s="10" t="n">
        <f aca="false">SUM(P5:P22)</f>
        <v>56638000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6"/>
  </cols>
  <sheetData>
    <row r="1" customFormat="false" ht="17.25" hidden="false" customHeight="true" outlineLevel="0" collapsed="false">
      <c r="A1" s="2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251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11" t="s">
        <v>252</v>
      </c>
      <c r="B4" s="12" t="s">
        <v>253</v>
      </c>
      <c r="C4" s="12" t="s">
        <v>254</v>
      </c>
      <c r="D4" s="12" t="s">
        <v>255</v>
      </c>
      <c r="E4" s="12" t="s">
        <v>256</v>
      </c>
      <c r="F4" s="12" t="s">
        <v>257</v>
      </c>
      <c r="G4" s="12" t="s">
        <v>258</v>
      </c>
      <c r="H4" s="12" t="s">
        <v>259</v>
      </c>
      <c r="I4" s="12" t="s">
        <v>260</v>
      </c>
      <c r="J4" s="12" t="s">
        <v>261</v>
      </c>
      <c r="K4" s="12" t="s">
        <v>262</v>
      </c>
    </row>
    <row r="5" customFormat="false" ht="15" hidden="false" customHeight="true" outlineLevel="0" collapsed="false">
      <c r="A5" s="13" t="n">
        <v>2016</v>
      </c>
      <c r="B5" s="14" t="n">
        <v>8900</v>
      </c>
      <c r="C5" s="14" t="n">
        <v>12505</v>
      </c>
      <c r="D5" s="14" t="n">
        <v>13582</v>
      </c>
      <c r="E5" s="14" t="n">
        <v>15811</v>
      </c>
      <c r="F5" s="14" t="n">
        <v>16530</v>
      </c>
      <c r="G5" s="14" t="n">
        <v>16721</v>
      </c>
      <c r="H5" s="14" t="n">
        <v>16437</v>
      </c>
      <c r="I5" s="14" t="n">
        <v>17153</v>
      </c>
      <c r="J5" s="14" t="n">
        <v>16298</v>
      </c>
      <c r="K5" s="14" t="n">
        <v>16872</v>
      </c>
    </row>
    <row r="6" customFormat="false" ht="15" hidden="false" customHeight="true" outlineLevel="0" collapsed="false">
      <c r="A6" s="13" t="n">
        <v>2017</v>
      </c>
      <c r="B6" s="14" t="n">
        <v>9157</v>
      </c>
      <c r="C6" s="14" t="n">
        <v>13656</v>
      </c>
      <c r="D6" s="14" t="n">
        <v>16036</v>
      </c>
      <c r="E6" s="14" t="n">
        <v>16347</v>
      </c>
      <c r="F6" s="14" t="n">
        <v>17573</v>
      </c>
      <c r="G6" s="14" t="n">
        <v>17452</v>
      </c>
      <c r="H6" s="14" t="n">
        <v>18967</v>
      </c>
      <c r="I6" s="14" t="n">
        <v>18986</v>
      </c>
      <c r="J6" s="14" t="n">
        <v>17984</v>
      </c>
      <c r="K6" s="7"/>
    </row>
    <row r="7" customFormat="false" ht="15" hidden="false" customHeight="true" outlineLevel="0" collapsed="false">
      <c r="A7" s="13" t="n">
        <v>2018</v>
      </c>
      <c r="B7" s="14" t="n">
        <v>11152</v>
      </c>
      <c r="C7" s="14" t="n">
        <v>15790</v>
      </c>
      <c r="D7" s="14" t="n">
        <v>17838</v>
      </c>
      <c r="E7" s="14" t="n">
        <v>20545</v>
      </c>
      <c r="F7" s="14" t="n">
        <v>21092</v>
      </c>
      <c r="G7" s="14" t="n">
        <v>22160</v>
      </c>
      <c r="H7" s="14" t="n">
        <v>21846</v>
      </c>
      <c r="I7" s="14" t="n">
        <v>20796</v>
      </c>
      <c r="J7" s="7"/>
      <c r="K7" s="7"/>
    </row>
    <row r="8" customFormat="false" ht="15" hidden="false" customHeight="true" outlineLevel="0" collapsed="false">
      <c r="A8" s="13" t="n">
        <v>2019</v>
      </c>
      <c r="B8" s="14" t="n">
        <v>10315</v>
      </c>
      <c r="C8" s="14" t="n">
        <v>14193</v>
      </c>
      <c r="D8" s="14" t="n">
        <v>18396</v>
      </c>
      <c r="E8" s="14" t="n">
        <v>19833</v>
      </c>
      <c r="F8" s="14" t="n">
        <v>20720</v>
      </c>
      <c r="G8" s="14" t="n">
        <v>20183</v>
      </c>
      <c r="H8" s="14" t="n">
        <v>19870</v>
      </c>
      <c r="I8" s="7"/>
      <c r="J8" s="7"/>
      <c r="K8" s="7"/>
    </row>
    <row r="9" customFormat="false" ht="15" hidden="false" customHeight="true" outlineLevel="0" collapsed="false">
      <c r="A9" s="13" t="n">
        <v>2020</v>
      </c>
      <c r="B9" s="14" t="n">
        <v>14736</v>
      </c>
      <c r="C9" s="14" t="n">
        <v>21065</v>
      </c>
      <c r="D9" s="14" t="n">
        <v>22867</v>
      </c>
      <c r="E9" s="14" t="n">
        <v>25807</v>
      </c>
      <c r="F9" s="14" t="n">
        <v>25953</v>
      </c>
      <c r="G9" s="14" t="n">
        <v>28557</v>
      </c>
      <c r="H9" s="7"/>
      <c r="I9" s="7"/>
      <c r="J9" s="7"/>
      <c r="K9" s="7"/>
    </row>
    <row r="10" customFormat="false" ht="15" hidden="false" customHeight="true" outlineLevel="0" collapsed="false">
      <c r="A10" s="13" t="n">
        <v>2021</v>
      </c>
      <c r="B10" s="14" t="n">
        <v>13140</v>
      </c>
      <c r="C10" s="14" t="n">
        <v>17500</v>
      </c>
      <c r="D10" s="14" t="n">
        <v>21450</v>
      </c>
      <c r="E10" s="14" t="n">
        <v>23412</v>
      </c>
      <c r="F10" s="14" t="n">
        <v>23873</v>
      </c>
      <c r="G10" s="7"/>
      <c r="H10" s="7"/>
      <c r="I10" s="7"/>
      <c r="J10" s="7"/>
      <c r="K10" s="7"/>
    </row>
    <row r="11" customFormat="false" ht="15" hidden="false" customHeight="true" outlineLevel="0" collapsed="false">
      <c r="A11" s="13" t="n">
        <v>2022</v>
      </c>
      <c r="B11" s="14" t="n">
        <v>16180</v>
      </c>
      <c r="C11" s="14" t="n">
        <v>21981</v>
      </c>
      <c r="D11" s="14" t="n">
        <v>25452</v>
      </c>
      <c r="E11" s="14" t="n">
        <v>28503</v>
      </c>
      <c r="F11" s="7"/>
      <c r="G11" s="7"/>
      <c r="H11" s="7"/>
      <c r="I11" s="7"/>
      <c r="J11" s="7"/>
      <c r="K11" s="7"/>
    </row>
    <row r="12" customFormat="false" ht="15" hidden="false" customHeight="true" outlineLevel="0" collapsed="false">
      <c r="A12" s="13" t="n">
        <v>2023</v>
      </c>
      <c r="B12" s="14" t="n">
        <v>19334</v>
      </c>
      <c r="C12" s="14" t="n">
        <v>26035</v>
      </c>
      <c r="D12" s="14" t="n">
        <v>31154</v>
      </c>
      <c r="E12" s="7"/>
      <c r="F12" s="7"/>
      <c r="G12" s="7"/>
      <c r="H12" s="7"/>
      <c r="I12" s="7"/>
      <c r="J12" s="7"/>
      <c r="K12" s="7"/>
    </row>
    <row r="13" customFormat="false" ht="15" hidden="false" customHeight="true" outlineLevel="0" collapsed="false">
      <c r="A13" s="13" t="n">
        <v>2024</v>
      </c>
      <c r="B13" s="14" t="n">
        <v>23194</v>
      </c>
      <c r="C13" s="14" t="n">
        <v>31852</v>
      </c>
      <c r="D13" s="7"/>
      <c r="E13" s="7"/>
      <c r="F13" s="7"/>
      <c r="G13" s="7"/>
      <c r="H13" s="7"/>
      <c r="I13" s="7"/>
      <c r="J13" s="7"/>
      <c r="K13" s="7"/>
    </row>
    <row r="14" customFormat="false" ht="15" hidden="false" customHeight="true" outlineLevel="0" collapsed="false">
      <c r="A14" s="13" t="n">
        <v>2025</v>
      </c>
      <c r="B14" s="14" t="n">
        <v>16397</v>
      </c>
      <c r="C14" s="7"/>
      <c r="D14" s="7"/>
      <c r="E14" s="7"/>
      <c r="F14" s="7"/>
      <c r="G14" s="7"/>
      <c r="H14" s="7"/>
      <c r="I14" s="7"/>
      <c r="J14" s="7"/>
      <c r="K14" s="7"/>
    </row>
    <row r="16" customFormat="false" ht="15" hidden="false" customHeight="true" outlineLevel="0" collapsed="false">
      <c r="A16" s="15" t="s">
        <v>263</v>
      </c>
      <c r="B16" s="16" t="n">
        <v>1.42035151682071</v>
      </c>
      <c r="C16" s="16" t="n">
        <v>1.17542008391737</v>
      </c>
      <c r="D16" s="16" t="n">
        <v>1.07749394674063</v>
      </c>
      <c r="E16" s="16" t="n">
        <v>1.04576171124295</v>
      </c>
      <c r="F16" s="16" t="n">
        <v>1.02776617436915</v>
      </c>
      <c r="G16" s="16" t="n">
        <v>1.00460229465193</v>
      </c>
      <c r="H16" s="16" t="n">
        <v>0.999404347689031</v>
      </c>
      <c r="I16" s="16" t="n">
        <v>0.994419861720181</v>
      </c>
      <c r="J16" s="16" t="n">
        <v>1.0046220591454</v>
      </c>
    </row>
    <row r="18" customFormat="false" ht="15" hidden="false" customHeight="true" outlineLevel="0" collapsed="false">
      <c r="A18" s="17" t="s">
        <v>264</v>
      </c>
      <c r="B18" s="18" t="s">
        <v>265</v>
      </c>
      <c r="C18" s="19" t="s">
        <v>266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8"/>
    <col collapsed="false" customWidth="true" hidden="false" outlineLevel="0" max="6" min="3" style="1" width="16"/>
    <col collapsed="false" customWidth="true" hidden="false" outlineLevel="0" max="7" min="7" style="1" width="55"/>
    <col collapsed="false" customWidth="true" hidden="false" outlineLevel="0" max="11" min="8" style="1" width="16"/>
    <col collapsed="false" customWidth="true" hidden="false" outlineLevel="0" max="12" min="12" style="1" width="40"/>
  </cols>
  <sheetData>
    <row r="1" customFormat="false" ht="17.25" hidden="false" customHeight="true" outlineLevel="0" collapsed="false">
      <c r="A1" s="2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268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0" hidden="false" customHeight="true" outlineLevel="0" collapsed="false">
      <c r="A4" s="4" t="s">
        <v>2</v>
      </c>
      <c r="B4" s="4" t="s">
        <v>269</v>
      </c>
      <c r="C4" s="4" t="s">
        <v>270</v>
      </c>
      <c r="D4" s="4" t="s">
        <v>271</v>
      </c>
      <c r="E4" s="4" t="s">
        <v>272</v>
      </c>
      <c r="F4" s="4" t="s">
        <v>273</v>
      </c>
      <c r="G4" s="4" t="s">
        <v>274</v>
      </c>
      <c r="H4" s="4" t="s">
        <v>275</v>
      </c>
      <c r="I4" s="4" t="s">
        <v>15</v>
      </c>
      <c r="J4" s="4" t="s">
        <v>276</v>
      </c>
      <c r="K4" s="4" t="s">
        <v>277</v>
      </c>
      <c r="L4" s="4" t="s">
        <v>278</v>
      </c>
    </row>
    <row r="5" customFormat="false" ht="45" hidden="false" customHeight="true" outlineLevel="0" collapsed="false">
      <c r="A5" s="5" t="s">
        <v>279</v>
      </c>
      <c r="B5" s="20" t="s">
        <v>280</v>
      </c>
      <c r="C5" s="5" t="s">
        <v>281</v>
      </c>
      <c r="D5" s="5" t="n">
        <v>4</v>
      </c>
      <c r="E5" s="5" t="n">
        <v>5</v>
      </c>
      <c r="F5" s="21" t="n">
        <f aca="false">D5*E5</f>
        <v>20</v>
      </c>
      <c r="G5" s="20" t="s">
        <v>282</v>
      </c>
      <c r="H5" s="5" t="s">
        <v>283</v>
      </c>
      <c r="I5" s="5" t="s">
        <v>23</v>
      </c>
      <c r="J5" s="6" t="n">
        <v>44941</v>
      </c>
      <c r="K5" s="6" t="n">
        <v>46112</v>
      </c>
      <c r="L5" s="20" t="s">
        <v>284</v>
      </c>
    </row>
    <row r="6" customFormat="false" ht="45" hidden="false" customHeight="true" outlineLevel="0" collapsed="false">
      <c r="A6" s="5" t="s">
        <v>285</v>
      </c>
      <c r="B6" s="20" t="s">
        <v>286</v>
      </c>
      <c r="C6" s="5" t="s">
        <v>287</v>
      </c>
      <c r="D6" s="5" t="n">
        <v>3</v>
      </c>
      <c r="E6" s="5" t="n">
        <v>5</v>
      </c>
      <c r="F6" s="22" t="n">
        <f aca="false">D6*E6</f>
        <v>15</v>
      </c>
      <c r="G6" s="20" t="s">
        <v>288</v>
      </c>
      <c r="H6" s="5" t="s">
        <v>289</v>
      </c>
      <c r="I6" s="5" t="s">
        <v>23</v>
      </c>
      <c r="J6" s="6" t="n">
        <v>44713</v>
      </c>
      <c r="K6" s="6" t="n">
        <v>46112</v>
      </c>
      <c r="L6" s="20" t="s">
        <v>290</v>
      </c>
    </row>
    <row r="7" customFormat="false" ht="45" hidden="false" customHeight="true" outlineLevel="0" collapsed="false">
      <c r="A7" s="5" t="s">
        <v>291</v>
      </c>
      <c r="B7" s="20" t="s">
        <v>292</v>
      </c>
      <c r="C7" s="5" t="s">
        <v>293</v>
      </c>
      <c r="D7" s="5" t="n">
        <v>3</v>
      </c>
      <c r="E7" s="5" t="n">
        <v>4</v>
      </c>
      <c r="F7" s="22" t="n">
        <f aca="false">D7*E7</f>
        <v>12</v>
      </c>
      <c r="G7" s="20" t="s">
        <v>294</v>
      </c>
      <c r="H7" s="5" t="s">
        <v>295</v>
      </c>
      <c r="I7" s="5" t="s">
        <v>23</v>
      </c>
      <c r="J7" s="6" t="n">
        <v>44995</v>
      </c>
      <c r="K7" s="6" t="n">
        <v>46112</v>
      </c>
      <c r="L7" s="20" t="s">
        <v>296</v>
      </c>
    </row>
    <row r="8" customFormat="false" ht="45" hidden="false" customHeight="true" outlineLevel="0" collapsed="false">
      <c r="A8" s="5" t="s">
        <v>297</v>
      </c>
      <c r="B8" s="20" t="s">
        <v>298</v>
      </c>
      <c r="C8" s="5" t="s">
        <v>299</v>
      </c>
      <c r="D8" s="5" t="n">
        <v>2</v>
      </c>
      <c r="E8" s="5" t="n">
        <v>5</v>
      </c>
      <c r="F8" s="23" t="n">
        <f aca="false">D8*E8</f>
        <v>10</v>
      </c>
      <c r="G8" s="20" t="s">
        <v>300</v>
      </c>
      <c r="H8" s="5" t="s">
        <v>301</v>
      </c>
      <c r="I8" s="5" t="s">
        <v>23</v>
      </c>
      <c r="J8" s="6" t="n">
        <v>45127</v>
      </c>
      <c r="K8" s="6" t="n">
        <v>46112</v>
      </c>
      <c r="L8" s="20" t="s">
        <v>302</v>
      </c>
    </row>
    <row r="9" customFormat="false" ht="45" hidden="false" customHeight="true" outlineLevel="0" collapsed="false">
      <c r="A9" s="5" t="s">
        <v>303</v>
      </c>
      <c r="B9" s="20" t="s">
        <v>304</v>
      </c>
      <c r="C9" s="5" t="s">
        <v>305</v>
      </c>
      <c r="D9" s="5" t="n">
        <v>3</v>
      </c>
      <c r="E9" s="5" t="n">
        <v>4</v>
      </c>
      <c r="F9" s="22" t="n">
        <f aca="false">D9*E9</f>
        <v>12</v>
      </c>
      <c r="G9" s="20" t="s">
        <v>306</v>
      </c>
      <c r="H9" s="5" t="s">
        <v>307</v>
      </c>
      <c r="I9" s="5" t="s">
        <v>23</v>
      </c>
      <c r="J9" s="6" t="n">
        <v>45323</v>
      </c>
      <c r="K9" s="6" t="n">
        <v>46112</v>
      </c>
      <c r="L9" s="20" t="s">
        <v>308</v>
      </c>
    </row>
    <row r="10" customFormat="false" ht="45" hidden="false" customHeight="true" outlineLevel="0" collapsed="false">
      <c r="A10" s="5" t="s">
        <v>309</v>
      </c>
      <c r="B10" s="20" t="s">
        <v>310</v>
      </c>
      <c r="C10" s="5" t="s">
        <v>311</v>
      </c>
      <c r="D10" s="5" t="n">
        <v>3</v>
      </c>
      <c r="E10" s="5" t="n">
        <v>3</v>
      </c>
      <c r="F10" s="23" t="n">
        <f aca="false">D10*E10</f>
        <v>9</v>
      </c>
      <c r="G10" s="20" t="s">
        <v>312</v>
      </c>
      <c r="H10" s="5" t="s">
        <v>313</v>
      </c>
      <c r="I10" s="5" t="s">
        <v>23</v>
      </c>
      <c r="J10" s="6" t="n">
        <v>44819</v>
      </c>
      <c r="K10" s="6" t="n">
        <v>46203</v>
      </c>
      <c r="L10" s="20" t="s">
        <v>314</v>
      </c>
    </row>
    <row r="11" customFormat="false" ht="45" hidden="false" customHeight="true" outlineLevel="0" collapsed="false">
      <c r="A11" s="5" t="s">
        <v>315</v>
      </c>
      <c r="B11" s="20" t="s">
        <v>316</v>
      </c>
      <c r="C11" s="5" t="s">
        <v>317</v>
      </c>
      <c r="D11" s="5" t="n">
        <v>4</v>
      </c>
      <c r="E11" s="5" t="n">
        <v>3</v>
      </c>
      <c r="F11" s="22" t="n">
        <f aca="false">D11*E11</f>
        <v>12</v>
      </c>
      <c r="G11" s="20" t="s">
        <v>318</v>
      </c>
      <c r="H11" s="5" t="s">
        <v>319</v>
      </c>
      <c r="I11" s="5" t="s">
        <v>23</v>
      </c>
      <c r="J11" s="6" t="n">
        <v>44287</v>
      </c>
      <c r="K11" s="6" t="n">
        <v>46112</v>
      </c>
      <c r="L11" s="20" t="s">
        <v>320</v>
      </c>
    </row>
    <row r="12" customFormat="false" ht="45" hidden="false" customHeight="true" outlineLevel="0" collapsed="false">
      <c r="A12" s="5" t="s">
        <v>321</v>
      </c>
      <c r="B12" s="20" t="s">
        <v>322</v>
      </c>
      <c r="C12" s="5" t="s">
        <v>323</v>
      </c>
      <c r="D12" s="5" t="n">
        <v>2</v>
      </c>
      <c r="E12" s="5" t="n">
        <v>4</v>
      </c>
      <c r="F12" s="23" t="n">
        <f aca="false">D12*E12</f>
        <v>8</v>
      </c>
      <c r="G12" s="20" t="s">
        <v>324</v>
      </c>
      <c r="H12" s="5" t="s">
        <v>325</v>
      </c>
      <c r="I12" s="5" t="s">
        <v>23</v>
      </c>
      <c r="J12" s="6" t="n">
        <v>45444</v>
      </c>
      <c r="K12" s="6" t="n">
        <v>46203</v>
      </c>
      <c r="L12" s="20" t="s">
        <v>326</v>
      </c>
    </row>
    <row r="13" customFormat="false" ht="45" hidden="false" customHeight="true" outlineLevel="0" collapsed="false">
      <c r="A13" s="5" t="s">
        <v>327</v>
      </c>
      <c r="B13" s="20" t="s">
        <v>328</v>
      </c>
      <c r="C13" s="5" t="s">
        <v>329</v>
      </c>
      <c r="D13" s="5" t="n">
        <v>2</v>
      </c>
      <c r="E13" s="5" t="n">
        <v>3</v>
      </c>
      <c r="F13" s="23" t="n">
        <f aca="false">D13*E13</f>
        <v>6</v>
      </c>
      <c r="G13" s="20" t="s">
        <v>330</v>
      </c>
      <c r="H13" s="5" t="s">
        <v>331</v>
      </c>
      <c r="I13" s="5" t="s">
        <v>23</v>
      </c>
      <c r="J13" s="6" t="n">
        <v>44571</v>
      </c>
      <c r="K13" s="6" t="n">
        <v>46203</v>
      </c>
      <c r="L13" s="20" t="s">
        <v>332</v>
      </c>
    </row>
    <row r="14" customFormat="false" ht="45" hidden="false" customHeight="true" outlineLevel="0" collapsed="false">
      <c r="A14" s="5" t="s">
        <v>333</v>
      </c>
      <c r="B14" s="20" t="s">
        <v>334</v>
      </c>
      <c r="C14" s="5" t="s">
        <v>335</v>
      </c>
      <c r="D14" s="5" t="n">
        <v>3</v>
      </c>
      <c r="E14" s="5" t="n">
        <v>4</v>
      </c>
      <c r="F14" s="22" t="n">
        <f aca="false">D14*E14</f>
        <v>12</v>
      </c>
      <c r="G14" s="20" t="s">
        <v>336</v>
      </c>
      <c r="H14" s="5" t="s">
        <v>337</v>
      </c>
      <c r="I14" s="5" t="s">
        <v>23</v>
      </c>
      <c r="J14" s="6" t="n">
        <v>45536</v>
      </c>
      <c r="K14" s="6" t="n">
        <v>46112</v>
      </c>
      <c r="L14" s="20" t="s">
        <v>338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6"/>
  </cols>
  <sheetData>
    <row r="1" customFormat="false" ht="17.25" hidden="false" customHeight="true" outlineLevel="0" collapsed="false">
      <c r="A1" s="2" t="s">
        <v>339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340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5</v>
      </c>
      <c r="B4" s="4" t="s">
        <v>341</v>
      </c>
      <c r="C4" s="4" t="s">
        <v>342</v>
      </c>
      <c r="D4" s="4" t="s">
        <v>343</v>
      </c>
      <c r="E4" s="4" t="s">
        <v>344</v>
      </c>
      <c r="F4" s="4" t="s">
        <v>345</v>
      </c>
      <c r="G4" s="4" t="s">
        <v>346</v>
      </c>
      <c r="H4" s="4" t="s">
        <v>347</v>
      </c>
    </row>
    <row r="5" customFormat="false" ht="15" hidden="false" customHeight="true" outlineLevel="0" collapsed="false">
      <c r="A5" s="5" t="s">
        <v>19</v>
      </c>
      <c r="B5" s="24" t="n">
        <v>2020</v>
      </c>
      <c r="C5" s="7" t="n">
        <v>12500</v>
      </c>
      <c r="D5" s="7" t="n">
        <v>6800</v>
      </c>
      <c r="E5" s="8" t="n">
        <f aca="false">D5/C5</f>
        <v>0.544</v>
      </c>
      <c r="F5" s="8" t="n">
        <v>0.32</v>
      </c>
      <c r="G5" s="8" t="n">
        <f aca="false">E5+F5</f>
        <v>0.864</v>
      </c>
      <c r="H5" s="7" t="n">
        <f aca="false">C5*(1-G5)</f>
        <v>1700</v>
      </c>
    </row>
    <row r="6" customFormat="false" ht="15" hidden="false" customHeight="true" outlineLevel="0" collapsed="false">
      <c r="A6" s="5" t="s">
        <v>19</v>
      </c>
      <c r="B6" s="24" t="n">
        <v>2021</v>
      </c>
      <c r="C6" s="7" t="n">
        <v>13200</v>
      </c>
      <c r="D6" s="7" t="n">
        <v>7100</v>
      </c>
      <c r="E6" s="8" t="n">
        <f aca="false">D6/C6</f>
        <v>0.537878787878788</v>
      </c>
      <c r="F6" s="8" t="n">
        <v>0.32</v>
      </c>
      <c r="G6" s="8" t="n">
        <f aca="false">E6+F6</f>
        <v>0.857878787878788</v>
      </c>
      <c r="H6" s="7" t="n">
        <f aca="false">C6*(1-G6)</f>
        <v>1876</v>
      </c>
    </row>
    <row r="7" customFormat="false" ht="15" hidden="false" customHeight="true" outlineLevel="0" collapsed="false">
      <c r="A7" s="5" t="s">
        <v>19</v>
      </c>
      <c r="B7" s="24" t="n">
        <v>2022</v>
      </c>
      <c r="C7" s="7" t="n">
        <v>14100</v>
      </c>
      <c r="D7" s="7" t="n">
        <v>9800</v>
      </c>
      <c r="E7" s="8" t="n">
        <f aca="false">D7/C7</f>
        <v>0.695035460992908</v>
      </c>
      <c r="F7" s="8" t="n">
        <v>0.32</v>
      </c>
      <c r="G7" s="8" t="n">
        <f aca="false">E7+F7</f>
        <v>1.01503546099291</v>
      </c>
      <c r="H7" s="7" t="n">
        <f aca="false">C7*(1-G7)</f>
        <v>-211.999999999999</v>
      </c>
    </row>
    <row r="8" customFormat="false" ht="15" hidden="false" customHeight="true" outlineLevel="0" collapsed="false">
      <c r="A8" s="5" t="s">
        <v>19</v>
      </c>
      <c r="B8" s="24" t="n">
        <v>2023</v>
      </c>
      <c r="C8" s="7" t="n">
        <v>15800</v>
      </c>
      <c r="D8" s="7" t="n">
        <v>8200</v>
      </c>
      <c r="E8" s="8" t="n">
        <f aca="false">D8/C8</f>
        <v>0.518987341772152</v>
      </c>
      <c r="F8" s="8" t="n">
        <v>0.32</v>
      </c>
      <c r="G8" s="8" t="n">
        <f aca="false">E8+F8</f>
        <v>0.838987341772152</v>
      </c>
      <c r="H8" s="7" t="n">
        <f aca="false">C8*(1-G8)</f>
        <v>2544</v>
      </c>
    </row>
    <row r="9" customFormat="false" ht="15" hidden="false" customHeight="true" outlineLevel="0" collapsed="false">
      <c r="A9" s="5" t="s">
        <v>19</v>
      </c>
      <c r="B9" s="24" t="n">
        <v>2024</v>
      </c>
      <c r="C9" s="7" t="n">
        <v>17200</v>
      </c>
      <c r="D9" s="7" t="n">
        <v>7900</v>
      </c>
      <c r="E9" s="8" t="n">
        <f aca="false">D9/C9</f>
        <v>0.459302325581395</v>
      </c>
      <c r="F9" s="8" t="n">
        <v>0.32</v>
      </c>
      <c r="G9" s="8" t="n">
        <f aca="false">E9+F9</f>
        <v>0.779302325581395</v>
      </c>
      <c r="H9" s="7" t="n">
        <f aca="false">C9*(1-G9)</f>
        <v>3796</v>
      </c>
    </row>
    <row r="10" customFormat="false" ht="15" hidden="false" customHeight="true" outlineLevel="0" collapsed="false">
      <c r="A10" s="5" t="s">
        <v>19</v>
      </c>
      <c r="B10" s="24" t="n">
        <v>2025</v>
      </c>
      <c r="C10" s="7" t="n">
        <v>18500</v>
      </c>
      <c r="D10" s="7" t="n">
        <v>10200</v>
      </c>
      <c r="E10" s="8" t="n">
        <f aca="false">D10/C10</f>
        <v>0.551351351351351</v>
      </c>
      <c r="F10" s="8" t="n">
        <v>0.32</v>
      </c>
      <c r="G10" s="8" t="n">
        <f aca="false">E10+F10</f>
        <v>0.871351351351351</v>
      </c>
      <c r="H10" s="7" t="n">
        <f aca="false">C10*(1-G10)</f>
        <v>2380</v>
      </c>
    </row>
    <row r="11" customFormat="false" ht="15" hidden="false" customHeight="true" outlineLevel="0" collapsed="false">
      <c r="A11" s="5" t="s">
        <v>33</v>
      </c>
      <c r="B11" s="24" t="n">
        <v>2020</v>
      </c>
      <c r="C11" s="7" t="n">
        <v>28000</v>
      </c>
      <c r="D11" s="7" t="n">
        <v>14500</v>
      </c>
      <c r="E11" s="8" t="n">
        <f aca="false">D11/C11</f>
        <v>0.517857142857143</v>
      </c>
      <c r="F11" s="8" t="n">
        <v>0.32</v>
      </c>
      <c r="G11" s="8" t="n">
        <f aca="false">E11+F11</f>
        <v>0.837857142857143</v>
      </c>
      <c r="H11" s="7" t="n">
        <f aca="false">C11*(1-G11)</f>
        <v>4540</v>
      </c>
    </row>
    <row r="12" customFormat="false" ht="15" hidden="false" customHeight="true" outlineLevel="0" collapsed="false">
      <c r="A12" s="5" t="s">
        <v>33</v>
      </c>
      <c r="B12" s="24" t="n">
        <v>2021</v>
      </c>
      <c r="C12" s="7" t="n">
        <v>31000</v>
      </c>
      <c r="D12" s="7" t="n">
        <v>12800</v>
      </c>
      <c r="E12" s="8" t="n">
        <f aca="false">D12/C12</f>
        <v>0.412903225806452</v>
      </c>
      <c r="F12" s="8" t="n">
        <v>0.32</v>
      </c>
      <c r="G12" s="8" t="n">
        <f aca="false">E12+F12</f>
        <v>0.732903225806452</v>
      </c>
      <c r="H12" s="7" t="n">
        <f aca="false">C12*(1-G12)</f>
        <v>8280</v>
      </c>
    </row>
    <row r="13" customFormat="false" ht="15" hidden="false" customHeight="true" outlineLevel="0" collapsed="false">
      <c r="A13" s="5" t="s">
        <v>33</v>
      </c>
      <c r="B13" s="24" t="n">
        <v>2022</v>
      </c>
      <c r="C13" s="7" t="n">
        <v>34500</v>
      </c>
      <c r="D13" s="7" t="n">
        <v>22100</v>
      </c>
      <c r="E13" s="8" t="n">
        <f aca="false">D13/C13</f>
        <v>0.640579710144928</v>
      </c>
      <c r="F13" s="8" t="n">
        <v>0.32</v>
      </c>
      <c r="G13" s="8" t="n">
        <f aca="false">E13+F13</f>
        <v>0.960579710144928</v>
      </c>
      <c r="H13" s="7" t="n">
        <f aca="false">C13*(1-G13)</f>
        <v>1360</v>
      </c>
    </row>
    <row r="14" customFormat="false" ht="15" hidden="false" customHeight="true" outlineLevel="0" collapsed="false">
      <c r="A14" s="5" t="s">
        <v>33</v>
      </c>
      <c r="B14" s="24" t="n">
        <v>2023</v>
      </c>
      <c r="C14" s="7" t="n">
        <v>38200</v>
      </c>
      <c r="D14" s="7" t="n">
        <v>18900</v>
      </c>
      <c r="E14" s="8" t="n">
        <f aca="false">D14/C14</f>
        <v>0.494764397905759</v>
      </c>
      <c r="F14" s="8" t="n">
        <v>0.32</v>
      </c>
      <c r="G14" s="8" t="n">
        <f aca="false">E14+F14</f>
        <v>0.814764397905759</v>
      </c>
      <c r="H14" s="7" t="n">
        <f aca="false">C14*(1-G14)</f>
        <v>7076</v>
      </c>
    </row>
    <row r="15" customFormat="false" ht="15" hidden="false" customHeight="true" outlineLevel="0" collapsed="false">
      <c r="A15" s="5" t="s">
        <v>33</v>
      </c>
      <c r="B15" s="24" t="n">
        <v>2024</v>
      </c>
      <c r="C15" s="7" t="n">
        <v>42000</v>
      </c>
      <c r="D15" s="7" t="n">
        <v>16500</v>
      </c>
      <c r="E15" s="8" t="n">
        <f aca="false">D15/C15</f>
        <v>0.392857142857143</v>
      </c>
      <c r="F15" s="8" t="n">
        <v>0.32</v>
      </c>
      <c r="G15" s="8" t="n">
        <f aca="false">E15+F15</f>
        <v>0.712857142857143</v>
      </c>
      <c r="H15" s="7" t="n">
        <f aca="false">C15*(1-G15)</f>
        <v>12060</v>
      </c>
    </row>
    <row r="16" customFormat="false" ht="15" hidden="false" customHeight="true" outlineLevel="0" collapsed="false">
      <c r="A16" s="5" t="s">
        <v>33</v>
      </c>
      <c r="B16" s="24" t="n">
        <v>2025</v>
      </c>
      <c r="C16" s="7" t="n">
        <v>46800</v>
      </c>
      <c r="D16" s="7" t="n">
        <v>28700</v>
      </c>
      <c r="E16" s="8" t="n">
        <f aca="false">D16/C16</f>
        <v>0.613247863247863</v>
      </c>
      <c r="F16" s="8" t="n">
        <v>0.32</v>
      </c>
      <c r="G16" s="8" t="n">
        <f aca="false">E16+F16</f>
        <v>0.933247863247863</v>
      </c>
      <c r="H16" s="7" t="n">
        <f aca="false">C16*(1-G16)</f>
        <v>3124</v>
      </c>
    </row>
    <row r="17" customFormat="false" ht="15" hidden="false" customHeight="true" outlineLevel="0" collapsed="false">
      <c r="A17" s="5" t="s">
        <v>58</v>
      </c>
      <c r="B17" s="24" t="n">
        <v>2020</v>
      </c>
      <c r="C17" s="7" t="n">
        <v>8500</v>
      </c>
      <c r="D17" s="7" t="n">
        <v>5200</v>
      </c>
      <c r="E17" s="8" t="n">
        <f aca="false">D17/C17</f>
        <v>0.611764705882353</v>
      </c>
      <c r="F17" s="8" t="n">
        <v>0.32</v>
      </c>
      <c r="G17" s="8" t="n">
        <f aca="false">E17+F17</f>
        <v>0.931764705882353</v>
      </c>
      <c r="H17" s="7" t="n">
        <f aca="false">C17*(1-G17)</f>
        <v>579.999999999999</v>
      </c>
    </row>
    <row r="18" customFormat="false" ht="15" hidden="false" customHeight="true" outlineLevel="0" collapsed="false">
      <c r="A18" s="5" t="s">
        <v>58</v>
      </c>
      <c r="B18" s="24" t="n">
        <v>2021</v>
      </c>
      <c r="C18" s="7" t="n">
        <v>11200</v>
      </c>
      <c r="D18" s="7" t="n">
        <v>8900</v>
      </c>
      <c r="E18" s="8" t="n">
        <f aca="false">D18/C18</f>
        <v>0.794642857142857</v>
      </c>
      <c r="F18" s="8" t="n">
        <v>0.32</v>
      </c>
      <c r="G18" s="8" t="n">
        <f aca="false">E18+F18</f>
        <v>1.11464285714286</v>
      </c>
      <c r="H18" s="7" t="n">
        <f aca="false">C18*(1-G18)</f>
        <v>-1284</v>
      </c>
    </row>
    <row r="19" customFormat="false" ht="15" hidden="false" customHeight="true" outlineLevel="0" collapsed="false">
      <c r="A19" s="5" t="s">
        <v>58</v>
      </c>
      <c r="B19" s="24" t="n">
        <v>2022</v>
      </c>
      <c r="C19" s="7" t="n">
        <v>15800</v>
      </c>
      <c r="D19" s="7" t="n">
        <v>14200</v>
      </c>
      <c r="E19" s="8" t="n">
        <f aca="false">D19/C19</f>
        <v>0.89873417721519</v>
      </c>
      <c r="F19" s="8" t="n">
        <v>0.32</v>
      </c>
      <c r="G19" s="8" t="n">
        <f aca="false">E19+F19</f>
        <v>1.21873417721519</v>
      </c>
      <c r="H19" s="7" t="n">
        <f aca="false">C19*(1-G19)</f>
        <v>-3456</v>
      </c>
    </row>
    <row r="20" customFormat="false" ht="15" hidden="false" customHeight="true" outlineLevel="0" collapsed="false">
      <c r="A20" s="5" t="s">
        <v>58</v>
      </c>
      <c r="B20" s="24" t="n">
        <v>2023</v>
      </c>
      <c r="C20" s="7" t="n">
        <v>21000</v>
      </c>
      <c r="D20" s="7" t="n">
        <v>12600</v>
      </c>
      <c r="E20" s="8" t="n">
        <f aca="false">D20/C20</f>
        <v>0.6</v>
      </c>
      <c r="F20" s="8" t="n">
        <v>0.32</v>
      </c>
      <c r="G20" s="8" t="n">
        <f aca="false">E20+F20</f>
        <v>0.92</v>
      </c>
      <c r="H20" s="7" t="n">
        <f aca="false">C20*(1-G20)</f>
        <v>1680</v>
      </c>
    </row>
    <row r="21" customFormat="false" ht="15" hidden="false" customHeight="true" outlineLevel="0" collapsed="false">
      <c r="A21" s="5" t="s">
        <v>58</v>
      </c>
      <c r="B21" s="24" t="n">
        <v>2024</v>
      </c>
      <c r="C21" s="7" t="n">
        <v>28500</v>
      </c>
      <c r="D21" s="7" t="n">
        <v>15800</v>
      </c>
      <c r="E21" s="8" t="n">
        <f aca="false">D21/C21</f>
        <v>0.554385964912281</v>
      </c>
      <c r="F21" s="8" t="n">
        <v>0.32</v>
      </c>
      <c r="G21" s="8" t="n">
        <f aca="false">E21+F21</f>
        <v>0.874385964912281</v>
      </c>
      <c r="H21" s="7" t="n">
        <f aca="false">C21*(1-G21)</f>
        <v>3580</v>
      </c>
    </row>
    <row r="22" customFormat="false" ht="15" hidden="false" customHeight="true" outlineLevel="0" collapsed="false">
      <c r="A22" s="5" t="s">
        <v>58</v>
      </c>
      <c r="B22" s="24" t="n">
        <v>2025</v>
      </c>
      <c r="C22" s="7" t="n">
        <v>35000</v>
      </c>
      <c r="D22" s="7" t="n">
        <v>24100</v>
      </c>
      <c r="E22" s="8" t="n">
        <f aca="false">D22/C22</f>
        <v>0.688571428571429</v>
      </c>
      <c r="F22" s="8" t="n">
        <v>0.32</v>
      </c>
      <c r="G22" s="8" t="n">
        <f aca="false">E22+F22</f>
        <v>1.00857142857143</v>
      </c>
      <c r="H22" s="7" t="n">
        <f aca="false">C22*(1-G22)</f>
        <v>-300.000000000004</v>
      </c>
    </row>
    <row r="23" customFormat="false" ht="15" hidden="false" customHeight="true" outlineLevel="0" collapsed="false">
      <c r="A23" s="5" t="s">
        <v>54</v>
      </c>
      <c r="B23" s="24" t="n">
        <v>2020</v>
      </c>
      <c r="C23" s="7" t="n">
        <v>6200</v>
      </c>
      <c r="D23" s="7" t="n">
        <v>2800</v>
      </c>
      <c r="E23" s="8" t="n">
        <f aca="false">D23/C23</f>
        <v>0.451612903225806</v>
      </c>
      <c r="F23" s="8" t="n">
        <v>0.32</v>
      </c>
      <c r="G23" s="8" t="n">
        <f aca="false">E23+F23</f>
        <v>0.771612903225806</v>
      </c>
      <c r="H23" s="7" t="n">
        <f aca="false">C23*(1-G23)</f>
        <v>1416</v>
      </c>
    </row>
    <row r="24" customFormat="false" ht="15" hidden="false" customHeight="true" outlineLevel="0" collapsed="false">
      <c r="A24" s="5" t="s">
        <v>54</v>
      </c>
      <c r="B24" s="24" t="n">
        <v>2021</v>
      </c>
      <c r="C24" s="7" t="n">
        <v>6800</v>
      </c>
      <c r="D24" s="7" t="n">
        <v>3100</v>
      </c>
      <c r="E24" s="8" t="n">
        <f aca="false">D24/C24</f>
        <v>0.455882352941176</v>
      </c>
      <c r="F24" s="8" t="n">
        <v>0.32</v>
      </c>
      <c r="G24" s="8" t="n">
        <f aca="false">E24+F24</f>
        <v>0.775882352941177</v>
      </c>
      <c r="H24" s="7" t="n">
        <f aca="false">C24*(1-G24)</f>
        <v>1524</v>
      </c>
    </row>
    <row r="25" customFormat="false" ht="15" hidden="false" customHeight="true" outlineLevel="0" collapsed="false">
      <c r="A25" s="5" t="s">
        <v>54</v>
      </c>
      <c r="B25" s="24" t="n">
        <v>2022</v>
      </c>
      <c r="C25" s="7" t="n">
        <v>7500</v>
      </c>
      <c r="D25" s="7" t="n">
        <v>4200</v>
      </c>
      <c r="E25" s="8" t="n">
        <f aca="false">D25/C25</f>
        <v>0.56</v>
      </c>
      <c r="F25" s="8" t="n">
        <v>0.32</v>
      </c>
      <c r="G25" s="8" t="n">
        <f aca="false">E25+F25</f>
        <v>0.88</v>
      </c>
      <c r="H25" s="7" t="n">
        <f aca="false">C25*(1-G25)</f>
        <v>899.999999999999</v>
      </c>
    </row>
    <row r="26" customFormat="false" ht="15" hidden="false" customHeight="true" outlineLevel="0" collapsed="false">
      <c r="A26" s="5" t="s">
        <v>54</v>
      </c>
      <c r="B26" s="24" t="n">
        <v>2023</v>
      </c>
      <c r="C26" s="7" t="n">
        <v>8200</v>
      </c>
      <c r="D26" s="7" t="n">
        <v>3800</v>
      </c>
      <c r="E26" s="8" t="n">
        <f aca="false">D26/C26</f>
        <v>0.463414634146342</v>
      </c>
      <c r="F26" s="8" t="n">
        <v>0.32</v>
      </c>
      <c r="G26" s="8" t="n">
        <f aca="false">E26+F26</f>
        <v>0.783414634146342</v>
      </c>
      <c r="H26" s="7" t="n">
        <f aca="false">C26*(1-G26)</f>
        <v>1776</v>
      </c>
    </row>
    <row r="27" customFormat="false" ht="15" hidden="false" customHeight="true" outlineLevel="0" collapsed="false">
      <c r="A27" s="5" t="s">
        <v>54</v>
      </c>
      <c r="B27" s="24" t="n">
        <v>2024</v>
      </c>
      <c r="C27" s="7" t="n">
        <v>9000</v>
      </c>
      <c r="D27" s="7" t="n">
        <v>4500</v>
      </c>
      <c r="E27" s="8" t="n">
        <f aca="false">D27/C27</f>
        <v>0.5</v>
      </c>
      <c r="F27" s="8" t="n">
        <v>0.32</v>
      </c>
      <c r="G27" s="8" t="n">
        <f aca="false">E27+F27</f>
        <v>0.82</v>
      </c>
      <c r="H27" s="7" t="n">
        <f aca="false">C27*(1-G27)</f>
        <v>1620</v>
      </c>
    </row>
    <row r="28" customFormat="false" ht="15" hidden="false" customHeight="true" outlineLevel="0" collapsed="false">
      <c r="A28" s="5" t="s">
        <v>54</v>
      </c>
      <c r="B28" s="24" t="n">
        <v>2025</v>
      </c>
      <c r="C28" s="7" t="n">
        <v>9800</v>
      </c>
      <c r="D28" s="7" t="n">
        <v>5100</v>
      </c>
      <c r="E28" s="8" t="n">
        <f aca="false">D28/C28</f>
        <v>0.520408163265306</v>
      </c>
      <c r="F28" s="8" t="n">
        <v>0.32</v>
      </c>
      <c r="G28" s="8" t="n">
        <f aca="false">E28+F28</f>
        <v>0.840408163265306</v>
      </c>
      <c r="H28" s="7" t="n">
        <f aca="false">C28*(1-G28)</f>
        <v>1564</v>
      </c>
    </row>
    <row r="29" customFormat="false" ht="15" hidden="false" customHeight="true" outlineLevel="0" collapsed="false">
      <c r="A29" s="5" t="s">
        <v>64</v>
      </c>
      <c r="B29" s="24" t="n">
        <v>2020</v>
      </c>
      <c r="C29" s="7" t="n">
        <v>9500</v>
      </c>
      <c r="D29" s="7" t="n">
        <v>4200</v>
      </c>
      <c r="E29" s="8" t="n">
        <f aca="false">D29/C29</f>
        <v>0.442105263157895</v>
      </c>
      <c r="F29" s="8" t="n">
        <v>0.32</v>
      </c>
      <c r="G29" s="8" t="n">
        <f aca="false">E29+F29</f>
        <v>0.762105263157895</v>
      </c>
      <c r="H29" s="7" t="n">
        <f aca="false">C29*(1-G29)</f>
        <v>2260</v>
      </c>
    </row>
    <row r="30" customFormat="false" ht="15" hidden="false" customHeight="true" outlineLevel="0" collapsed="false">
      <c r="A30" s="5" t="s">
        <v>64</v>
      </c>
      <c r="B30" s="24" t="n">
        <v>2021</v>
      </c>
      <c r="C30" s="7" t="n">
        <v>10800</v>
      </c>
      <c r="D30" s="7" t="n">
        <v>3800</v>
      </c>
      <c r="E30" s="8" t="n">
        <f aca="false">D30/C30</f>
        <v>0.351851851851852</v>
      </c>
      <c r="F30" s="8" t="n">
        <v>0.32</v>
      </c>
      <c r="G30" s="8" t="n">
        <f aca="false">E30+F30</f>
        <v>0.671851851851852</v>
      </c>
      <c r="H30" s="7" t="n">
        <f aca="false">C30*(1-G30)</f>
        <v>3544</v>
      </c>
    </row>
    <row r="31" customFormat="false" ht="15" hidden="false" customHeight="true" outlineLevel="0" collapsed="false">
      <c r="A31" s="5" t="s">
        <v>64</v>
      </c>
      <c r="B31" s="24" t="n">
        <v>2022</v>
      </c>
      <c r="C31" s="7" t="n">
        <v>12200</v>
      </c>
      <c r="D31" s="7" t="n">
        <v>8900</v>
      </c>
      <c r="E31" s="8" t="n">
        <f aca="false">D31/C31</f>
        <v>0.729508196721312</v>
      </c>
      <c r="F31" s="8" t="n">
        <v>0.32</v>
      </c>
      <c r="G31" s="8" t="n">
        <f aca="false">E31+F31</f>
        <v>1.04950819672131</v>
      </c>
      <c r="H31" s="7" t="n">
        <f aca="false">C31*(1-G31)</f>
        <v>-604.000000000001</v>
      </c>
    </row>
    <row r="32" customFormat="false" ht="15" hidden="false" customHeight="true" outlineLevel="0" collapsed="false">
      <c r="A32" s="5" t="s">
        <v>64</v>
      </c>
      <c r="B32" s="24" t="n">
        <v>2023</v>
      </c>
      <c r="C32" s="7" t="n">
        <v>13500</v>
      </c>
      <c r="D32" s="7" t="n">
        <v>6200</v>
      </c>
      <c r="E32" s="8" t="n">
        <f aca="false">D32/C32</f>
        <v>0.459259259259259</v>
      </c>
      <c r="F32" s="8" t="n">
        <v>0.32</v>
      </c>
      <c r="G32" s="8" t="n">
        <f aca="false">E32+F32</f>
        <v>0.779259259259259</v>
      </c>
      <c r="H32" s="7" t="n">
        <f aca="false">C32*(1-G32)</f>
        <v>2980</v>
      </c>
    </row>
    <row r="33" customFormat="false" ht="15" hidden="false" customHeight="true" outlineLevel="0" collapsed="false">
      <c r="A33" s="5" t="s">
        <v>64</v>
      </c>
      <c r="B33" s="24" t="n">
        <v>2024</v>
      </c>
      <c r="C33" s="7" t="n">
        <v>15000</v>
      </c>
      <c r="D33" s="7" t="n">
        <v>7800</v>
      </c>
      <c r="E33" s="8" t="n">
        <f aca="false">D33/C33</f>
        <v>0.52</v>
      </c>
      <c r="F33" s="8" t="n">
        <v>0.32</v>
      </c>
      <c r="G33" s="8" t="n">
        <f aca="false">E33+F33</f>
        <v>0.84</v>
      </c>
      <c r="H33" s="7" t="n">
        <f aca="false">C33*(1-G33)</f>
        <v>2400</v>
      </c>
    </row>
    <row r="34" customFormat="false" ht="15" hidden="false" customHeight="true" outlineLevel="0" collapsed="false">
      <c r="A34" s="5" t="s">
        <v>64</v>
      </c>
      <c r="B34" s="24" t="n">
        <v>2025</v>
      </c>
      <c r="C34" s="7" t="n">
        <v>16500</v>
      </c>
      <c r="D34" s="7" t="n">
        <v>11800</v>
      </c>
      <c r="E34" s="8" t="n">
        <f aca="false">D34/C34</f>
        <v>0.715151515151515</v>
      </c>
      <c r="F34" s="8" t="n">
        <v>0.32</v>
      </c>
      <c r="G34" s="8" t="n">
        <f aca="false">E34+F34</f>
        <v>1.03515151515152</v>
      </c>
      <c r="H34" s="7" t="n">
        <f aca="false">C34*(1-G34)</f>
        <v>-580</v>
      </c>
    </row>
    <row r="35" customFormat="false" ht="15" hidden="false" customHeight="true" outlineLevel="0" collapsed="false">
      <c r="A35" s="9" t="s">
        <v>348</v>
      </c>
      <c r="C35" s="25" t="n">
        <f aca="false">SUM(C5:C34)</f>
        <v>556800</v>
      </c>
      <c r="D35" s="25" t="n">
        <f aca="false">SUM(D5:D34)</f>
        <v>310500</v>
      </c>
      <c r="E35" s="26" t="n">
        <f aca="false">D35/C35</f>
        <v>0.557650862068966</v>
      </c>
      <c r="H35" s="25" t="n">
        <f aca="false">SUM(H5:H34)</f>
        <v>68124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9" min="2" style="1" width="16"/>
    <col collapsed="false" customWidth="true" hidden="false" outlineLevel="0" max="10" min="10" style="1" width="20"/>
    <col collapsed="false" customWidth="true" hidden="false" outlineLevel="0" max="11" min="11" style="1" width="16"/>
  </cols>
  <sheetData>
    <row r="1" customFormat="false" ht="17.25" hidden="false" customHeight="true" outlineLevel="0" collapsed="false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350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27" t="s">
        <v>351</v>
      </c>
      <c r="B4" s="27"/>
      <c r="C4" s="27"/>
      <c r="D4" s="27"/>
      <c r="E4" s="27"/>
      <c r="F4" s="27"/>
      <c r="G4" s="27"/>
      <c r="H4" s="27"/>
      <c r="I4" s="27"/>
      <c r="J4" s="27"/>
      <c r="K4" s="27"/>
    </row>
    <row r="6" customFormat="false" ht="23.25" hidden="false" customHeight="true" outlineLevel="0" collapsed="false">
      <c r="A6" s="4" t="s">
        <v>5</v>
      </c>
      <c r="B6" s="4" t="s">
        <v>352</v>
      </c>
      <c r="C6" s="4" t="s">
        <v>97</v>
      </c>
      <c r="D6" s="4" t="s">
        <v>98</v>
      </c>
      <c r="E6" s="4" t="s">
        <v>99</v>
      </c>
      <c r="F6" s="4" t="s">
        <v>353</v>
      </c>
      <c r="G6" s="4" t="s">
        <v>354</v>
      </c>
      <c r="H6" s="4" t="s">
        <v>355</v>
      </c>
      <c r="I6" s="4" t="s">
        <v>356</v>
      </c>
      <c r="J6" s="4" t="s">
        <v>357</v>
      </c>
      <c r="K6" s="4" t="s">
        <v>358</v>
      </c>
    </row>
    <row r="7" customFormat="false" ht="15" hidden="false" customHeight="true" outlineLevel="0" collapsed="false">
      <c r="A7" s="5" t="s">
        <v>19</v>
      </c>
      <c r="B7" s="5" t="n">
        <v>14</v>
      </c>
      <c r="C7" s="7" t="n">
        <v>8420</v>
      </c>
      <c r="D7" s="7" t="n">
        <v>610</v>
      </c>
      <c r="E7" s="7" t="n">
        <v>3850</v>
      </c>
      <c r="F7" s="28" t="n">
        <v>2200</v>
      </c>
      <c r="G7" s="7" t="n">
        <f aca="false">C7+D7+E7+F7</f>
        <v>15080</v>
      </c>
      <c r="H7" s="7" t="n">
        <f aca="false">E7+F7</f>
        <v>6050</v>
      </c>
      <c r="I7" s="8" t="n">
        <f aca="false">(C7+D7)/G7</f>
        <v>0.598806366047745</v>
      </c>
      <c r="J7" s="21" t="s">
        <v>359</v>
      </c>
      <c r="K7" s="6" t="n">
        <v>46006</v>
      </c>
    </row>
    <row r="8" customFormat="false" ht="15" hidden="false" customHeight="true" outlineLevel="0" collapsed="false">
      <c r="A8" s="5" t="s">
        <v>33</v>
      </c>
      <c r="B8" s="5" t="n">
        <v>22</v>
      </c>
      <c r="C8" s="7" t="n">
        <v>18950</v>
      </c>
      <c r="D8" s="7" t="n">
        <v>1380</v>
      </c>
      <c r="E8" s="7" t="n">
        <v>8700</v>
      </c>
      <c r="F8" s="28" t="n">
        <v>5600</v>
      </c>
      <c r="G8" s="7" t="n">
        <f aca="false">C8+D8+E8+F8</f>
        <v>34630</v>
      </c>
      <c r="H8" s="7" t="n">
        <f aca="false">E8+F8</f>
        <v>14300</v>
      </c>
      <c r="I8" s="8" t="n">
        <f aca="false">(C8+D8)/G8</f>
        <v>0.587063239965348</v>
      </c>
      <c r="J8" s="21" t="s">
        <v>359</v>
      </c>
      <c r="K8" s="6" t="n">
        <v>46009</v>
      </c>
    </row>
    <row r="9" customFormat="false" ht="15" hidden="false" customHeight="true" outlineLevel="0" collapsed="false">
      <c r="A9" s="5" t="s">
        <v>58</v>
      </c>
      <c r="B9" s="5" t="n">
        <v>8</v>
      </c>
      <c r="C9" s="7" t="n">
        <v>12800</v>
      </c>
      <c r="D9" s="7" t="n">
        <v>2150</v>
      </c>
      <c r="E9" s="7" t="n">
        <v>15200</v>
      </c>
      <c r="F9" s="28" t="n">
        <v>9500</v>
      </c>
      <c r="G9" s="7" t="n">
        <f aca="false">C9+D9+E9+F9</f>
        <v>39650</v>
      </c>
      <c r="H9" s="7" t="n">
        <f aca="false">E9+F9</f>
        <v>24700</v>
      </c>
      <c r="I9" s="8" t="n">
        <f aca="false">(C9+D9)/G9</f>
        <v>0.377049180327869</v>
      </c>
      <c r="J9" s="29" t="s">
        <v>360</v>
      </c>
      <c r="K9" s="6" t="n">
        <v>46011</v>
      </c>
    </row>
    <row r="10" customFormat="false" ht="15" hidden="false" customHeight="true" outlineLevel="0" collapsed="false">
      <c r="A10" s="5" t="s">
        <v>54</v>
      </c>
      <c r="B10" s="5" t="n">
        <v>5</v>
      </c>
      <c r="C10" s="7" t="n">
        <v>5100</v>
      </c>
      <c r="D10" s="7" t="n">
        <v>890</v>
      </c>
      <c r="E10" s="7" t="n">
        <v>4200</v>
      </c>
      <c r="F10" s="28" t="n">
        <v>3100</v>
      </c>
      <c r="G10" s="7" t="n">
        <f aca="false">C10+D10+E10+F10</f>
        <v>13290</v>
      </c>
      <c r="H10" s="7" t="n">
        <f aca="false">E10+F10</f>
        <v>7300</v>
      </c>
      <c r="I10" s="8" t="n">
        <f aca="false">(C10+D10)/G10</f>
        <v>0.45071482317532</v>
      </c>
      <c r="J10" s="29" t="s">
        <v>360</v>
      </c>
      <c r="K10" s="6" t="n">
        <v>46003</v>
      </c>
    </row>
    <row r="11" customFormat="false" ht="15" hidden="false" customHeight="true" outlineLevel="0" collapsed="false">
      <c r="A11" s="5" t="s">
        <v>64</v>
      </c>
      <c r="B11" s="5" t="n">
        <v>11</v>
      </c>
      <c r="C11" s="7" t="n">
        <v>9400</v>
      </c>
      <c r="D11" s="7" t="n">
        <v>720</v>
      </c>
      <c r="E11" s="7" t="n">
        <v>6800</v>
      </c>
      <c r="F11" s="28" t="n">
        <v>4300</v>
      </c>
      <c r="G11" s="7" t="n">
        <f aca="false">C11+D11+E11+F11</f>
        <v>21220</v>
      </c>
      <c r="H11" s="7" t="n">
        <f aca="false">E11+F11</f>
        <v>11100</v>
      </c>
      <c r="I11" s="8" t="n">
        <f aca="false">(C11+D11)/G11</f>
        <v>0.476908576814326</v>
      </c>
      <c r="J11" s="29" t="s">
        <v>360</v>
      </c>
      <c r="K11" s="6" t="n">
        <v>46007</v>
      </c>
    </row>
    <row r="12" customFormat="false" ht="15" hidden="false" customHeight="true" outlineLevel="0" collapsed="false">
      <c r="A12" s="9" t="s">
        <v>361</v>
      </c>
      <c r="B12" s="30" t="n">
        <f aca="false">SUM(B7:B11)</f>
        <v>60</v>
      </c>
      <c r="C12" s="30" t="n">
        <f aca="false">SUM(C7:C11)</f>
        <v>54670</v>
      </c>
      <c r="D12" s="30" t="n">
        <f aca="false">SUM(D7:D11)</f>
        <v>5750</v>
      </c>
      <c r="E12" s="30" t="n">
        <f aca="false">SUM(E7:E11)</f>
        <v>38750</v>
      </c>
      <c r="F12" s="30" t="n">
        <f aca="false">SUM(F7:F11)</f>
        <v>24700</v>
      </c>
      <c r="G12" s="30" t="n">
        <f aca="false">SUM(G7:G11)</f>
        <v>123870</v>
      </c>
      <c r="H12" s="30" t="n">
        <f aca="false">SUM(H7:H11)</f>
        <v>63450</v>
      </c>
      <c r="I12" s="31" t="n">
        <f aca="false">(C12+D12)/G12</f>
        <v>0.487769435698716</v>
      </c>
    </row>
    <row r="15" customFormat="false" ht="15" hidden="false" customHeight="true" outlineLevel="0" collapsed="false">
      <c r="A15" s="27" t="s">
        <v>362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customFormat="false" ht="15" hidden="false" customHeight="true" outlineLevel="0" collapsed="false">
      <c r="A16" s="3" t="s">
        <v>363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23.25" hidden="false" customHeight="true" outlineLevel="0" collapsed="false">
      <c r="A17" s="4" t="s">
        <v>252</v>
      </c>
      <c r="B17" s="4" t="s">
        <v>364</v>
      </c>
      <c r="C17" s="4" t="s">
        <v>365</v>
      </c>
      <c r="D17" s="4" t="s">
        <v>366</v>
      </c>
      <c r="E17" s="4" t="s">
        <v>367</v>
      </c>
      <c r="F17" s="4" t="s">
        <v>368</v>
      </c>
      <c r="G17" s="4" t="s">
        <v>369</v>
      </c>
    </row>
    <row r="18" customFormat="false" ht="15" hidden="false" customHeight="true" outlineLevel="0" collapsed="false">
      <c r="A18" s="24" t="n">
        <v>2016</v>
      </c>
      <c r="B18" s="7" t="n">
        <v>16950</v>
      </c>
      <c r="C18" s="32" t="n">
        <v>1</v>
      </c>
      <c r="D18" s="7" t="n">
        <f aca="false">B18*C18</f>
        <v>16950</v>
      </c>
      <c r="E18" s="7" t="n">
        <f aca="false">D18-B18</f>
        <v>0</v>
      </c>
      <c r="F18" s="8" t="n">
        <f aca="false">1/C18</f>
        <v>1</v>
      </c>
      <c r="G18" s="33" t="s">
        <v>370</v>
      </c>
    </row>
    <row r="19" customFormat="false" ht="15" hidden="false" customHeight="true" outlineLevel="0" collapsed="false">
      <c r="A19" s="24" t="n">
        <v>2017</v>
      </c>
      <c r="B19" s="7" t="n">
        <v>18320</v>
      </c>
      <c r="C19" s="32" t="n">
        <v>1.002</v>
      </c>
      <c r="D19" s="7" t="n">
        <f aca="false">B19*C19</f>
        <v>18356.64</v>
      </c>
      <c r="E19" s="7" t="n">
        <f aca="false">D19-B19</f>
        <v>36.6399999999994</v>
      </c>
      <c r="F19" s="8" t="n">
        <f aca="false">1/C19</f>
        <v>0.998003992015968</v>
      </c>
      <c r="G19" s="33" t="s">
        <v>370</v>
      </c>
    </row>
    <row r="20" customFormat="false" ht="15" hidden="false" customHeight="true" outlineLevel="0" collapsed="false">
      <c r="A20" s="24" t="n">
        <v>2018</v>
      </c>
      <c r="B20" s="7" t="n">
        <v>21890</v>
      </c>
      <c r="C20" s="32" t="n">
        <v>1.005</v>
      </c>
      <c r="D20" s="7" t="n">
        <f aca="false">B20*C20</f>
        <v>21999.45</v>
      </c>
      <c r="E20" s="7" t="n">
        <f aca="false">D20-B20</f>
        <v>109.449999999997</v>
      </c>
      <c r="F20" s="8" t="n">
        <f aca="false">1/C20</f>
        <v>0.995024875621891</v>
      </c>
      <c r="G20" s="33" t="s">
        <v>370</v>
      </c>
    </row>
    <row r="21" customFormat="false" ht="15" hidden="false" customHeight="true" outlineLevel="0" collapsed="false">
      <c r="A21" s="24" t="n">
        <v>2019</v>
      </c>
      <c r="B21" s="7" t="n">
        <v>20150</v>
      </c>
      <c r="C21" s="32" t="n">
        <v>1.01</v>
      </c>
      <c r="D21" s="7" t="n">
        <f aca="false">B21*C21</f>
        <v>20351.5</v>
      </c>
      <c r="E21" s="7" t="n">
        <f aca="false">D21-B21</f>
        <v>201.5</v>
      </c>
      <c r="F21" s="8" t="n">
        <f aca="false">1/C21</f>
        <v>0.99009900990099</v>
      </c>
      <c r="G21" s="33" t="s">
        <v>370</v>
      </c>
    </row>
    <row r="22" customFormat="false" ht="15" hidden="false" customHeight="true" outlineLevel="0" collapsed="false">
      <c r="A22" s="24" t="n">
        <v>2020</v>
      </c>
      <c r="B22" s="7" t="n">
        <v>27820</v>
      </c>
      <c r="C22" s="32" t="n">
        <v>1.02</v>
      </c>
      <c r="D22" s="7" t="n">
        <f aca="false">B22*C22</f>
        <v>28376.4</v>
      </c>
      <c r="E22" s="7" t="n">
        <f aca="false">D22-B22</f>
        <v>556.400000000002</v>
      </c>
      <c r="F22" s="8" t="n">
        <f aca="false">1/C22</f>
        <v>0.980392156862745</v>
      </c>
      <c r="G22" s="33" t="s">
        <v>370</v>
      </c>
    </row>
    <row r="23" customFormat="false" ht="15" hidden="false" customHeight="true" outlineLevel="0" collapsed="false">
      <c r="A23" s="24" t="n">
        <v>2021</v>
      </c>
      <c r="B23" s="7" t="n">
        <v>25100</v>
      </c>
      <c r="C23" s="32" t="n">
        <v>1.042</v>
      </c>
      <c r="D23" s="7" t="n">
        <f aca="false">B23*C23</f>
        <v>26154.2</v>
      </c>
      <c r="E23" s="7" t="n">
        <f aca="false">D23-B23</f>
        <v>1054.2</v>
      </c>
      <c r="F23" s="8" t="n">
        <f aca="false">1/C23</f>
        <v>0.959692898272553</v>
      </c>
      <c r="G23" s="33" t="s">
        <v>370</v>
      </c>
    </row>
    <row r="24" customFormat="false" ht="15" hidden="false" customHeight="true" outlineLevel="0" collapsed="false">
      <c r="A24" s="24" t="n">
        <v>2022</v>
      </c>
      <c r="B24" s="7" t="n">
        <v>29600</v>
      </c>
      <c r="C24" s="32" t="n">
        <v>1.082</v>
      </c>
      <c r="D24" s="7" t="n">
        <f aca="false">B24*C24</f>
        <v>32027.2</v>
      </c>
      <c r="E24" s="7" t="n">
        <f aca="false">D24-B24</f>
        <v>2427.2</v>
      </c>
      <c r="F24" s="8" t="n">
        <f aca="false">1/C24</f>
        <v>0.924214417744917</v>
      </c>
      <c r="G24" s="34" t="s">
        <v>371</v>
      </c>
    </row>
    <row r="25" customFormat="false" ht="15" hidden="false" customHeight="true" outlineLevel="0" collapsed="false">
      <c r="A25" s="24" t="n">
        <v>2023</v>
      </c>
      <c r="B25" s="7" t="n">
        <v>34200</v>
      </c>
      <c r="C25" s="32" t="n">
        <v>1.18</v>
      </c>
      <c r="D25" s="7" t="n">
        <f aca="false">B25*C25</f>
        <v>40356</v>
      </c>
      <c r="E25" s="7" t="n">
        <f aca="false">D25-B25</f>
        <v>6156</v>
      </c>
      <c r="F25" s="8" t="n">
        <f aca="false">1/C25</f>
        <v>0.847457627118644</v>
      </c>
      <c r="G25" s="34" t="s">
        <v>371</v>
      </c>
    </row>
    <row r="26" customFormat="false" ht="15" hidden="false" customHeight="true" outlineLevel="0" collapsed="false">
      <c r="A26" s="24" t="n">
        <v>2024</v>
      </c>
      <c r="B26" s="7" t="n">
        <v>31400</v>
      </c>
      <c r="C26" s="32" t="n">
        <v>1.42</v>
      </c>
      <c r="D26" s="7" t="n">
        <f aca="false">B26*C26</f>
        <v>44588</v>
      </c>
      <c r="E26" s="7" t="n">
        <f aca="false">D26-B26</f>
        <v>13188</v>
      </c>
      <c r="F26" s="8" t="n">
        <f aca="false">1/C26</f>
        <v>0.704225352112676</v>
      </c>
      <c r="G26" s="22" t="s">
        <v>372</v>
      </c>
    </row>
    <row r="27" customFormat="false" ht="15" hidden="false" customHeight="true" outlineLevel="0" collapsed="false">
      <c r="A27" s="24" t="n">
        <v>2025</v>
      </c>
      <c r="B27" s="7" t="n">
        <v>16500</v>
      </c>
      <c r="C27" s="32" t="n">
        <v>1.98</v>
      </c>
      <c r="D27" s="7" t="n">
        <f aca="false">B27*C27</f>
        <v>32670</v>
      </c>
      <c r="E27" s="7" t="n">
        <f aca="false">D27-B27</f>
        <v>16170</v>
      </c>
      <c r="F27" s="8" t="n">
        <f aca="false">1/C27</f>
        <v>0.505050505050505</v>
      </c>
      <c r="G27" s="22" t="s">
        <v>372</v>
      </c>
    </row>
    <row r="28" customFormat="false" ht="15" hidden="false" customHeight="true" outlineLevel="0" collapsed="false">
      <c r="A28" s="9" t="s">
        <v>373</v>
      </c>
      <c r="B28" s="30" t="n">
        <f aca="false">SUM(B18:B27)</f>
        <v>241930</v>
      </c>
      <c r="D28" s="30" t="n">
        <f aca="false">SUM(D18:D27)</f>
        <v>281829.39</v>
      </c>
      <c r="E28" s="30" t="n">
        <f aca="false">SUM(E18:E27)</f>
        <v>39899.39</v>
      </c>
    </row>
    <row r="31" customFormat="false" ht="15" hidden="false" customHeight="true" outlineLevel="0" collapsed="false">
      <c r="A31" s="27" t="s">
        <v>374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customFormat="false" ht="23.25" hidden="false" customHeight="true" outlineLevel="0" collapsed="false">
      <c r="A32" s="4" t="s">
        <v>252</v>
      </c>
      <c r="B32" s="4" t="s">
        <v>375</v>
      </c>
      <c r="C32" s="4" t="s">
        <v>376</v>
      </c>
      <c r="D32" s="4" t="s">
        <v>377</v>
      </c>
      <c r="E32" s="4" t="s">
        <v>378</v>
      </c>
      <c r="F32" s="4" t="s">
        <v>379</v>
      </c>
      <c r="G32" s="4" t="s">
        <v>380</v>
      </c>
    </row>
    <row r="33" customFormat="false" ht="15" hidden="false" customHeight="true" outlineLevel="0" collapsed="false">
      <c r="A33" s="24" t="n">
        <v>2020</v>
      </c>
      <c r="B33" s="7" t="n">
        <v>5200</v>
      </c>
      <c r="C33" s="7" t="n">
        <v>1800</v>
      </c>
      <c r="D33" s="28" t="n">
        <v>-400</v>
      </c>
      <c r="E33" s="7" t="n">
        <f aca="false">B33-C33+D33</f>
        <v>3000</v>
      </c>
      <c r="F33" s="7" t="n">
        <f aca="false">B33-C33-E33</f>
        <v>400</v>
      </c>
      <c r="G33" s="5" t="str">
        <f aca="false">IF(F33&gt;0,"Favourable",IF(F33&lt;0,"Adverse","Flat"))</f>
        <v>Favourable</v>
      </c>
    </row>
    <row r="34" customFormat="false" ht="15" hidden="false" customHeight="true" outlineLevel="0" collapsed="false">
      <c r="A34" s="24" t="n">
        <v>2021</v>
      </c>
      <c r="B34" s="7" t="n">
        <v>7800</v>
      </c>
      <c r="C34" s="7" t="n">
        <v>2600</v>
      </c>
      <c r="D34" s="28" t="n">
        <v>200</v>
      </c>
      <c r="E34" s="7" t="n">
        <f aca="false">B34-C34+D34</f>
        <v>5400</v>
      </c>
      <c r="F34" s="7" t="n">
        <f aca="false">B34-C34-E34</f>
        <v>-200</v>
      </c>
      <c r="G34" s="5" t="str">
        <f aca="false">IF(F34&gt;0,"Favourable",IF(F34&lt;0,"Adverse","Flat"))</f>
        <v>Adverse</v>
      </c>
    </row>
    <row r="35" customFormat="false" ht="15" hidden="false" customHeight="true" outlineLevel="0" collapsed="false">
      <c r="A35" s="24" t="n">
        <v>2022</v>
      </c>
      <c r="B35" s="7" t="n">
        <v>12400</v>
      </c>
      <c r="C35" s="7" t="n">
        <v>4100</v>
      </c>
      <c r="D35" s="28" t="n">
        <v>800</v>
      </c>
      <c r="E35" s="7" t="n">
        <f aca="false">B35-C35+D35</f>
        <v>9100</v>
      </c>
      <c r="F35" s="7" t="n">
        <f aca="false">B35-C35-E35</f>
        <v>-800</v>
      </c>
      <c r="G35" s="5" t="str">
        <f aca="false">IF(F35&gt;0,"Favourable",IF(F35&lt;0,"Adverse","Flat"))</f>
        <v>Adverse</v>
      </c>
    </row>
    <row r="36" customFormat="false" ht="15" hidden="false" customHeight="true" outlineLevel="0" collapsed="false">
      <c r="A36" s="24" t="n">
        <v>2023</v>
      </c>
      <c r="B36" s="7" t="n">
        <v>15600</v>
      </c>
      <c r="C36" s="7" t="n">
        <v>5200</v>
      </c>
      <c r="D36" s="28" t="n">
        <v>-600</v>
      </c>
      <c r="E36" s="7" t="n">
        <f aca="false">B36-C36+D36</f>
        <v>9800</v>
      </c>
      <c r="F36" s="7" t="n">
        <f aca="false">B36-C36-E36</f>
        <v>600</v>
      </c>
      <c r="G36" s="5" t="str">
        <f aca="false">IF(F36&gt;0,"Favourable",IF(F36&lt;0,"Adverse","Flat"))</f>
        <v>Favourable</v>
      </c>
    </row>
    <row r="37" customFormat="false" ht="15" hidden="false" customHeight="true" outlineLevel="0" collapsed="false">
      <c r="A37" s="24" t="n">
        <v>2024</v>
      </c>
      <c r="B37" s="7" t="n">
        <v>22100</v>
      </c>
      <c r="C37" s="7" t="n">
        <v>6800</v>
      </c>
      <c r="D37" s="28" t="n">
        <v>1500</v>
      </c>
      <c r="E37" s="7" t="n">
        <f aca="false">B37-C37+D37</f>
        <v>16800</v>
      </c>
      <c r="F37" s="7" t="n">
        <f aca="false">B37-C37-E37</f>
        <v>-1500</v>
      </c>
      <c r="G37" s="5" t="str">
        <f aca="false">IF(F37&gt;0,"Favourable",IF(F37&lt;0,"Adverse","Flat"))</f>
        <v>Adverse</v>
      </c>
    </row>
    <row r="38" customFormat="false" ht="15" hidden="false" customHeight="true" outlineLevel="0" collapsed="false">
      <c r="A38" s="9" t="s">
        <v>373</v>
      </c>
      <c r="B38" s="30" t="n">
        <f aca="false">SUM(B33:B37)</f>
        <v>63100</v>
      </c>
      <c r="C38" s="30" t="n">
        <f aca="false">SUM(C33:C37)</f>
        <v>20500</v>
      </c>
      <c r="E38" s="30" t="n">
        <f aca="false">SUM(E33:E37)</f>
        <v>44100</v>
      </c>
      <c r="F38" s="30" t="n">
        <f aca="false">SUM(F33:F37)</f>
        <v>-1500</v>
      </c>
    </row>
  </sheetData>
  <mergeCells count="6">
    <mergeCell ref="A1:K1"/>
    <mergeCell ref="A2:K2"/>
    <mergeCell ref="A4:K4"/>
    <mergeCell ref="A15:K15"/>
    <mergeCell ref="A16:K16"/>
    <mergeCell ref="A31:K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1" min="2" style="1" width="16"/>
  </cols>
  <sheetData>
    <row r="1" customFormat="false" ht="17.25" hidden="false" customHeight="true" outlineLevel="0" collapsed="false">
      <c r="A1" s="2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382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27" t="s">
        <v>383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6" customFormat="false" ht="15" hidden="false" customHeight="true" outlineLevel="0" collapsed="false">
      <c r="A6" s="4"/>
      <c r="B6" s="4" t="s">
        <v>384</v>
      </c>
      <c r="C6" s="4" t="s">
        <v>385</v>
      </c>
      <c r="D6" s="4" t="s">
        <v>386</v>
      </c>
      <c r="E6" s="4" t="s">
        <v>387</v>
      </c>
      <c r="F6" s="4" t="s">
        <v>388</v>
      </c>
      <c r="G6" s="4" t="s">
        <v>389</v>
      </c>
      <c r="H6" s="4" t="s">
        <v>390</v>
      </c>
      <c r="J6" s="35" t="s">
        <v>391</v>
      </c>
      <c r="K6" s="36"/>
    </row>
    <row r="7" customFormat="false" ht="15" hidden="false" customHeight="true" outlineLevel="0" collapsed="false">
      <c r="A7" s="37" t="s">
        <v>392</v>
      </c>
      <c r="B7" s="38" t="n">
        <v>64700</v>
      </c>
      <c r="C7" s="38" t="n">
        <v>73000</v>
      </c>
      <c r="D7" s="38" t="n">
        <v>84100</v>
      </c>
      <c r="E7" s="38" t="n">
        <v>96700</v>
      </c>
      <c r="F7" s="38" t="n">
        <v>111700</v>
      </c>
      <c r="G7" s="38" t="n">
        <v>126600</v>
      </c>
      <c r="H7" s="10" t="n">
        <f aca="false">SUM(B7:G7)</f>
        <v>556800</v>
      </c>
      <c r="J7" s="1" t="s">
        <v>393</v>
      </c>
      <c r="K7" s="39" t="n">
        <v>0.18</v>
      </c>
    </row>
    <row r="8" customFormat="false" ht="15" hidden="false" customHeight="true" outlineLevel="0" collapsed="false">
      <c r="A8" s="37" t="s">
        <v>394</v>
      </c>
      <c r="B8" s="40" t="n">
        <v>0.35</v>
      </c>
      <c r="C8" s="40" t="n">
        <v>0.35</v>
      </c>
      <c r="D8" s="40" t="n">
        <v>0.38</v>
      </c>
      <c r="E8" s="40" t="n">
        <v>0.38</v>
      </c>
      <c r="F8" s="40" t="n">
        <v>0.4</v>
      </c>
      <c r="G8" s="40" t="n">
        <v>0.4</v>
      </c>
      <c r="J8" s="1" t="s">
        <v>395</v>
      </c>
      <c r="K8" s="39" t="n">
        <v>0.12</v>
      </c>
    </row>
    <row r="9" customFormat="false" ht="15" hidden="false" customHeight="true" outlineLevel="0" collapsed="false">
      <c r="A9" s="37" t="s">
        <v>13</v>
      </c>
      <c r="B9" s="41" t="n">
        <f aca="false">B7*B8</f>
        <v>22645</v>
      </c>
      <c r="C9" s="41" t="n">
        <f aca="false">C7*C8</f>
        <v>25550</v>
      </c>
      <c r="D9" s="41" t="n">
        <f aca="false">D7*D8</f>
        <v>31958</v>
      </c>
      <c r="E9" s="41" t="n">
        <f aca="false">E7*E8</f>
        <v>36746</v>
      </c>
      <c r="F9" s="41" t="n">
        <f aca="false">F7*F8</f>
        <v>44680</v>
      </c>
      <c r="G9" s="41" t="n">
        <f aca="false">G7*G8</f>
        <v>50640</v>
      </c>
      <c r="H9" s="10" t="n">
        <f aca="false">SUM(B9:G9)</f>
        <v>212219</v>
      </c>
      <c r="J9" s="1" t="s">
        <v>396</v>
      </c>
      <c r="K9" s="39" t="n">
        <v>0.21</v>
      </c>
    </row>
    <row r="10" customFormat="false" ht="15" hidden="false" customHeight="true" outlineLevel="0" collapsed="false">
      <c r="A10" s="37" t="s">
        <v>397</v>
      </c>
      <c r="B10" s="41" t="n">
        <f aca="false">B7-B9</f>
        <v>42055</v>
      </c>
      <c r="C10" s="41" t="n">
        <f aca="false">C7-C9</f>
        <v>47450</v>
      </c>
      <c r="D10" s="41" t="n">
        <f aca="false">D7-D9</f>
        <v>52142</v>
      </c>
      <c r="E10" s="41" t="n">
        <f aca="false">E7-E9</f>
        <v>59954</v>
      </c>
      <c r="F10" s="41" t="n">
        <f aca="false">F7-F9</f>
        <v>67020</v>
      </c>
      <c r="G10" s="41" t="n">
        <f aca="false">G7-G9</f>
        <v>75960</v>
      </c>
      <c r="H10" s="10" t="n">
        <f aca="false">SUM(B10:G10)</f>
        <v>344581</v>
      </c>
    </row>
    <row r="11" customFormat="false" ht="15" hidden="false" customHeight="true" outlineLevel="0" collapsed="false">
      <c r="A11" s="37"/>
    </row>
    <row r="12" customFormat="false" ht="15" hidden="false" customHeight="true" outlineLevel="0" collapsed="false">
      <c r="A12" s="37" t="s">
        <v>398</v>
      </c>
      <c r="B12" s="28" t="n">
        <v>-1200</v>
      </c>
      <c r="C12" s="28" t="n">
        <v>-1500</v>
      </c>
      <c r="D12" s="28" t="n">
        <v>-2100</v>
      </c>
      <c r="E12" s="28" t="n">
        <v>-2400</v>
      </c>
      <c r="F12" s="28" t="n">
        <v>-2800</v>
      </c>
      <c r="G12" s="28" t="n">
        <v>-3200</v>
      </c>
      <c r="H12" s="10" t="n">
        <f aca="false">SUM(B12:G12)</f>
        <v>-13200</v>
      </c>
    </row>
    <row r="13" customFormat="false" ht="15" hidden="false" customHeight="true" outlineLevel="0" collapsed="false">
      <c r="A13" s="42" t="s">
        <v>399</v>
      </c>
      <c r="B13" s="30" t="n">
        <f aca="false">B10+B12</f>
        <v>40855</v>
      </c>
      <c r="C13" s="30" t="n">
        <f aca="false">C10+C12</f>
        <v>45950</v>
      </c>
      <c r="D13" s="30" t="n">
        <f aca="false">D10+D12</f>
        <v>50042</v>
      </c>
      <c r="E13" s="30" t="n">
        <f aca="false">E10+E12</f>
        <v>57554</v>
      </c>
      <c r="F13" s="30" t="n">
        <f aca="false">F10+F12</f>
        <v>64220</v>
      </c>
      <c r="G13" s="30" t="n">
        <f aca="false">G10+G12</f>
        <v>72760</v>
      </c>
      <c r="H13" s="10" t="n">
        <f aca="false">SUM(B13:G13)</f>
        <v>331381</v>
      </c>
    </row>
    <row r="14" customFormat="false" ht="15" hidden="false" customHeight="true" outlineLevel="0" collapsed="false">
      <c r="A14" s="37"/>
    </row>
    <row r="15" customFormat="false" ht="15" hidden="false" customHeight="true" outlineLevel="0" collapsed="false">
      <c r="A15" s="37" t="s">
        <v>400</v>
      </c>
      <c r="B15" s="38" t="n">
        <v>33500</v>
      </c>
      <c r="C15" s="38" t="n">
        <v>35700</v>
      </c>
      <c r="D15" s="38" t="n">
        <v>59200</v>
      </c>
      <c r="E15" s="38" t="n">
        <v>49700</v>
      </c>
      <c r="F15" s="38" t="n">
        <v>52500</v>
      </c>
      <c r="G15" s="38" t="n">
        <v>79900</v>
      </c>
      <c r="H15" s="10" t="n">
        <f aca="false">SUM(B15:G15)</f>
        <v>310500</v>
      </c>
    </row>
    <row r="16" customFormat="false" ht="15" hidden="false" customHeight="true" outlineLevel="0" collapsed="false">
      <c r="A16" s="37" t="s">
        <v>401</v>
      </c>
      <c r="B16" s="41" t="n">
        <f aca="false">B15*B8</f>
        <v>11725</v>
      </c>
      <c r="C16" s="41" t="n">
        <f aca="false">C15*C8</f>
        <v>12495</v>
      </c>
      <c r="D16" s="41" t="n">
        <f aca="false">D15*D8</f>
        <v>22496</v>
      </c>
      <c r="E16" s="41" t="n">
        <f aca="false">E15*E8</f>
        <v>18886</v>
      </c>
      <c r="F16" s="41" t="n">
        <f aca="false">F15*F8</f>
        <v>21000</v>
      </c>
      <c r="G16" s="41" t="n">
        <f aca="false">G15*G8</f>
        <v>31960</v>
      </c>
      <c r="H16" s="10" t="n">
        <f aca="false">SUM(B16:G16)</f>
        <v>118562</v>
      </c>
    </row>
    <row r="17" customFormat="false" ht="15" hidden="false" customHeight="true" outlineLevel="0" collapsed="false">
      <c r="A17" s="42" t="s">
        <v>402</v>
      </c>
      <c r="B17" s="30" t="n">
        <f aca="false">B15-B16</f>
        <v>21775</v>
      </c>
      <c r="C17" s="30" t="n">
        <f aca="false">C15-C16</f>
        <v>23205</v>
      </c>
      <c r="D17" s="30" t="n">
        <f aca="false">D15-D16</f>
        <v>36704</v>
      </c>
      <c r="E17" s="30" t="n">
        <f aca="false">E15-E16</f>
        <v>30814</v>
      </c>
      <c r="F17" s="30" t="n">
        <f aca="false">F15-F16</f>
        <v>31500</v>
      </c>
      <c r="G17" s="30" t="n">
        <f aca="false">G15-G16</f>
        <v>47940</v>
      </c>
      <c r="H17" s="10" t="n">
        <f aca="false">SUM(B17:G17)</f>
        <v>191938</v>
      </c>
    </row>
    <row r="18" customFormat="false" ht="15" hidden="false" customHeight="true" outlineLevel="0" collapsed="false">
      <c r="A18" s="37"/>
    </row>
    <row r="19" customFormat="false" ht="15" hidden="false" customHeight="true" outlineLevel="0" collapsed="false">
      <c r="A19" s="37" t="s">
        <v>403</v>
      </c>
      <c r="B19" s="41" t="n">
        <f aca="false">B13*$K$7</f>
        <v>7353.9</v>
      </c>
      <c r="C19" s="41" t="n">
        <f aca="false">C13*$K$7</f>
        <v>8271</v>
      </c>
      <c r="D19" s="41" t="n">
        <f aca="false">D13*$K$7</f>
        <v>9007.56</v>
      </c>
      <c r="E19" s="41" t="n">
        <f aca="false">E13*$K$7</f>
        <v>10359.72</v>
      </c>
      <c r="F19" s="41" t="n">
        <f aca="false">F13*$K$7</f>
        <v>11559.6</v>
      </c>
      <c r="G19" s="41" t="n">
        <f aca="false">G13*$K$7</f>
        <v>13096.8</v>
      </c>
      <c r="H19" s="10" t="n">
        <f aca="false">SUM(B19:G19)</f>
        <v>59648.58</v>
      </c>
    </row>
    <row r="20" customFormat="false" ht="15" hidden="false" customHeight="true" outlineLevel="0" collapsed="false">
      <c r="A20" s="37" t="s">
        <v>404</v>
      </c>
      <c r="B20" s="41" t="n">
        <f aca="false">B13*$K$8</f>
        <v>4902.6</v>
      </c>
      <c r="C20" s="41" t="n">
        <f aca="false">C13*$K$8</f>
        <v>5514</v>
      </c>
      <c r="D20" s="41" t="n">
        <f aca="false">D13*$K$8</f>
        <v>6005.04</v>
      </c>
      <c r="E20" s="41" t="n">
        <f aca="false">E13*$K$8</f>
        <v>6906.48</v>
      </c>
      <c r="F20" s="41" t="n">
        <f aca="false">F13*$K$8</f>
        <v>7706.4</v>
      </c>
      <c r="G20" s="41" t="n">
        <f aca="false">G13*$K$8</f>
        <v>8731.2</v>
      </c>
      <c r="H20" s="10" t="n">
        <f aca="false">SUM(B20:G20)</f>
        <v>39765.72</v>
      </c>
    </row>
    <row r="21" customFormat="false" ht="15" hidden="false" customHeight="true" outlineLevel="0" collapsed="false">
      <c r="A21" s="42" t="s">
        <v>405</v>
      </c>
      <c r="B21" s="30" t="n">
        <f aca="false">B19+B20</f>
        <v>12256.5</v>
      </c>
      <c r="C21" s="30" t="n">
        <f aca="false">C19+C20</f>
        <v>13785</v>
      </c>
      <c r="D21" s="30" t="n">
        <f aca="false">D19+D20</f>
        <v>15012.6</v>
      </c>
      <c r="E21" s="30" t="n">
        <f aca="false">E19+E20</f>
        <v>17266.2</v>
      </c>
      <c r="F21" s="30" t="n">
        <f aca="false">F19+F20</f>
        <v>19266</v>
      </c>
      <c r="G21" s="30" t="n">
        <f aca="false">G19+G20</f>
        <v>21828</v>
      </c>
      <c r="H21" s="10" t="n">
        <f aca="false">SUM(B21:G21)</f>
        <v>99414.3</v>
      </c>
    </row>
    <row r="22" customFormat="false" ht="15" hidden="false" customHeight="true" outlineLevel="0" collapsed="false">
      <c r="A22" s="37"/>
    </row>
    <row r="23" customFormat="false" ht="15" hidden="false" customHeight="true" outlineLevel="0" collapsed="false">
      <c r="A23" s="42" t="s">
        <v>406</v>
      </c>
      <c r="B23" s="30" t="n">
        <f aca="false">B13-B17-B21</f>
        <v>6823.5</v>
      </c>
      <c r="C23" s="30" t="n">
        <f aca="false">C13-C17-C21</f>
        <v>8960</v>
      </c>
      <c r="D23" s="30" t="n">
        <f aca="false">D13-D17-D21</f>
        <v>-1674.6</v>
      </c>
      <c r="E23" s="30" t="n">
        <f aca="false">E13-E17-E21</f>
        <v>9473.8</v>
      </c>
      <c r="F23" s="30" t="n">
        <f aca="false">F13-F17-F21</f>
        <v>13454</v>
      </c>
      <c r="G23" s="30" t="n">
        <f aca="false">G13-G17-G21</f>
        <v>2992</v>
      </c>
      <c r="H23" s="10" t="n">
        <f aca="false">SUM(B23:G23)</f>
        <v>40028.7</v>
      </c>
    </row>
    <row r="24" customFormat="false" ht="15" hidden="false" customHeight="true" outlineLevel="0" collapsed="false">
      <c r="A24" s="37" t="s">
        <v>407</v>
      </c>
      <c r="B24" s="28" t="n">
        <v>2800</v>
      </c>
      <c r="C24" s="28" t="n">
        <v>2600</v>
      </c>
      <c r="D24" s="28" t="n">
        <v>3100</v>
      </c>
      <c r="E24" s="28" t="n">
        <v>3800</v>
      </c>
      <c r="F24" s="28" t="n">
        <v>4200</v>
      </c>
      <c r="G24" s="28" t="n">
        <v>4500</v>
      </c>
      <c r="H24" s="10" t="n">
        <f aca="false">SUM(B24:G24)</f>
        <v>21000</v>
      </c>
    </row>
    <row r="25" customFormat="false" ht="15" hidden="false" customHeight="true" outlineLevel="0" collapsed="false">
      <c r="A25" s="42" t="s">
        <v>408</v>
      </c>
      <c r="B25" s="30" t="n">
        <f aca="false">B23+B24</f>
        <v>9623.5</v>
      </c>
      <c r="C25" s="30" t="n">
        <f aca="false">C23+C24</f>
        <v>11560</v>
      </c>
      <c r="D25" s="30" t="n">
        <f aca="false">D23+D24</f>
        <v>1425.4</v>
      </c>
      <c r="E25" s="30" t="n">
        <f aca="false">E23+E24</f>
        <v>13273.8</v>
      </c>
      <c r="F25" s="30" t="n">
        <f aca="false">F23+F24</f>
        <v>17654</v>
      </c>
      <c r="G25" s="30" t="n">
        <f aca="false">G23+G24</f>
        <v>7492</v>
      </c>
      <c r="H25" s="10" t="n">
        <f aca="false">SUM(B25:G25)</f>
        <v>61028.7</v>
      </c>
    </row>
    <row r="28" customFormat="false" ht="15" hidden="false" customHeight="true" outlineLevel="0" collapsed="false">
      <c r="A28" s="27" t="s">
        <v>409</v>
      </c>
      <c r="B28" s="27"/>
      <c r="C28" s="27"/>
      <c r="D28" s="27"/>
      <c r="E28" s="27"/>
      <c r="F28" s="27"/>
      <c r="G28" s="27"/>
      <c r="H28" s="27"/>
    </row>
    <row r="29" customFormat="false" ht="15" hidden="false" customHeight="true" outlineLevel="0" collapsed="false">
      <c r="A29" s="4"/>
      <c r="B29" s="4" t="s">
        <v>384</v>
      </c>
      <c r="C29" s="4" t="s">
        <v>385</v>
      </c>
      <c r="D29" s="4" t="s">
        <v>386</v>
      </c>
      <c r="E29" s="4" t="s">
        <v>387</v>
      </c>
      <c r="F29" s="4" t="s">
        <v>388</v>
      </c>
      <c r="G29" s="4" t="s">
        <v>389</v>
      </c>
    </row>
    <row r="30" customFormat="false" ht="15" hidden="false" customHeight="true" outlineLevel="0" collapsed="false">
      <c r="A30" s="37" t="s">
        <v>410</v>
      </c>
      <c r="B30" s="43" t="n">
        <f aca="false">B17/B13</f>
        <v>0.53298249908212</v>
      </c>
      <c r="C30" s="43" t="n">
        <f aca="false">C17/C13</f>
        <v>0.505005440696409</v>
      </c>
      <c r="D30" s="43" t="n">
        <f aca="false">D17/D13</f>
        <v>0.733463890332121</v>
      </c>
      <c r="E30" s="43" t="n">
        <f aca="false">E17/E13</f>
        <v>0.535392848455364</v>
      </c>
      <c r="F30" s="43" t="n">
        <f aca="false">F17/F13</f>
        <v>0.490501401432576</v>
      </c>
      <c r="G30" s="43" t="n">
        <f aca="false">G17/G13</f>
        <v>0.658878504672897</v>
      </c>
    </row>
    <row r="31" customFormat="false" ht="15" hidden="false" customHeight="true" outlineLevel="0" collapsed="false">
      <c r="A31" s="37" t="s">
        <v>345</v>
      </c>
      <c r="B31" s="43" t="n">
        <f aca="false">B21/B13</f>
        <v>0.3</v>
      </c>
      <c r="C31" s="43" t="n">
        <f aca="false">C21/C13</f>
        <v>0.3</v>
      </c>
      <c r="D31" s="43" t="n">
        <f aca="false">D21/D13</f>
        <v>0.3</v>
      </c>
      <c r="E31" s="43" t="n">
        <f aca="false">E21/E13</f>
        <v>0.3</v>
      </c>
      <c r="F31" s="43" t="n">
        <f aca="false">F21/F13</f>
        <v>0.3</v>
      </c>
      <c r="G31" s="43" t="n">
        <f aca="false">G21/G13</f>
        <v>0.3</v>
      </c>
    </row>
    <row r="32" customFormat="false" ht="15" hidden="false" customHeight="true" outlineLevel="0" collapsed="false">
      <c r="A32" s="42" t="s">
        <v>346</v>
      </c>
      <c r="B32" s="44" t="n">
        <f aca="false">B30+B31</f>
        <v>0.83298249908212</v>
      </c>
      <c r="C32" s="44" t="n">
        <f aca="false">C30+C31</f>
        <v>0.805005440696409</v>
      </c>
      <c r="D32" s="44" t="n">
        <f aca="false">D30+D31</f>
        <v>1.03346389033212</v>
      </c>
      <c r="E32" s="44" t="n">
        <f aca="false">E30+E31</f>
        <v>0.835392848455364</v>
      </c>
      <c r="F32" s="44" t="n">
        <f aca="false">F30+F31</f>
        <v>0.790501401432576</v>
      </c>
      <c r="G32" s="44" t="n">
        <f aca="false">G30+G31</f>
        <v>0.958878504672897</v>
      </c>
    </row>
    <row r="33" customFormat="false" ht="15" hidden="false" customHeight="true" outlineLevel="0" collapsed="false">
      <c r="A33" s="37" t="s">
        <v>411</v>
      </c>
      <c r="B33" s="43" t="n">
        <f aca="false">B24/B13</f>
        <v>0.0685350630277812</v>
      </c>
      <c r="C33" s="43" t="n">
        <f aca="false">C24/C13</f>
        <v>0.0565832426550598</v>
      </c>
      <c r="D33" s="43" t="n">
        <f aca="false">D24/D13</f>
        <v>0.0619479637104832</v>
      </c>
      <c r="E33" s="43" t="n">
        <f aca="false">E24/E13</f>
        <v>0.0660249504812871</v>
      </c>
      <c r="F33" s="43" t="n">
        <f aca="false">F24/F13</f>
        <v>0.0654001868576767</v>
      </c>
      <c r="G33" s="43" t="n">
        <f aca="false">G24/G13</f>
        <v>0.0618471687740517</v>
      </c>
    </row>
    <row r="34" customFormat="false" ht="15" hidden="false" customHeight="true" outlineLevel="0" collapsed="false">
      <c r="A34" s="42" t="s">
        <v>412</v>
      </c>
      <c r="B34" s="45" t="n">
        <f aca="false">B32-B33</f>
        <v>0.764447436054339</v>
      </c>
      <c r="C34" s="45" t="n">
        <f aca="false">C32-C33</f>
        <v>0.748422198041349</v>
      </c>
      <c r="D34" s="45" t="n">
        <f aca="false">D32-D33</f>
        <v>0.971515926621638</v>
      </c>
      <c r="E34" s="45" t="n">
        <f aca="false">E32-E33</f>
        <v>0.769367897974077</v>
      </c>
      <c r="F34" s="45" t="n">
        <f aca="false">F32-F33</f>
        <v>0.725101214574899</v>
      </c>
      <c r="G34" s="45" t="n">
        <f aca="false">G32-G33</f>
        <v>0.897031335898845</v>
      </c>
    </row>
    <row r="35" customFormat="false" ht="15" hidden="false" customHeight="true" outlineLevel="0" collapsed="false">
      <c r="A35" s="42" t="s">
        <v>413</v>
      </c>
      <c r="B35" s="45" t="n">
        <f aca="false">B25/B13</f>
        <v>0.235552563945662</v>
      </c>
      <c r="C35" s="45" t="n">
        <f aca="false">C25/C13</f>
        <v>0.251577801958651</v>
      </c>
      <c r="D35" s="45" t="n">
        <f aca="false">D25/D13</f>
        <v>0.0284840733783622</v>
      </c>
      <c r="E35" s="45" t="n">
        <f aca="false">E25/E13</f>
        <v>0.230632102025924</v>
      </c>
      <c r="F35" s="45" t="n">
        <f aca="false">F25/F13</f>
        <v>0.274898785425101</v>
      </c>
      <c r="G35" s="45" t="n">
        <f aca="false">G25/G13</f>
        <v>0.102968664101154</v>
      </c>
    </row>
    <row r="38" customFormat="false" ht="15" hidden="false" customHeight="true" outlineLevel="0" collapsed="false">
      <c r="A38" s="27" t="s">
        <v>414</v>
      </c>
      <c r="B38" s="27"/>
      <c r="C38" s="27"/>
      <c r="D38" s="27"/>
      <c r="E38" s="27"/>
      <c r="F38" s="27"/>
      <c r="G38" s="27"/>
      <c r="H38" s="27"/>
    </row>
    <row r="39" customFormat="false" ht="23.25" hidden="false" customHeight="true" outlineLevel="0" collapsed="false">
      <c r="A39" s="4" t="s">
        <v>5</v>
      </c>
      <c r="B39" s="4" t="s">
        <v>399</v>
      </c>
      <c r="C39" s="4" t="s">
        <v>415</v>
      </c>
      <c r="D39" s="4" t="s">
        <v>410</v>
      </c>
      <c r="E39" s="4" t="s">
        <v>416</v>
      </c>
      <c r="F39" s="4" t="s">
        <v>346</v>
      </c>
      <c r="G39" s="4" t="s">
        <v>417</v>
      </c>
      <c r="H39" s="4" t="s">
        <v>418</v>
      </c>
    </row>
    <row r="40" customFormat="false" ht="15" hidden="false" customHeight="true" outlineLevel="0" collapsed="false">
      <c r="A40" s="5" t="s">
        <v>19</v>
      </c>
      <c r="B40" s="7" t="n">
        <v>11100</v>
      </c>
      <c r="C40" s="7" t="n">
        <v>6120</v>
      </c>
      <c r="D40" s="8" t="n">
        <f aca="false">C40/B40</f>
        <v>0.551351351351351</v>
      </c>
      <c r="E40" s="7" t="n">
        <f aca="false">B40*($K$7+$K$8)</f>
        <v>3330</v>
      </c>
      <c r="F40" s="8" t="n">
        <f aca="false">D40+$K$7+$K$8</f>
        <v>0.851351351351351</v>
      </c>
      <c r="G40" s="7" t="n">
        <f aca="false">B40-C40-E40</f>
        <v>1650</v>
      </c>
      <c r="H40" s="5" t="str">
        <f aca="false">IF(G40&gt;0,"Profitable","Loss-making")</f>
        <v>Profitable</v>
      </c>
    </row>
    <row r="41" customFormat="false" ht="15" hidden="false" customHeight="true" outlineLevel="0" collapsed="false">
      <c r="A41" s="5" t="s">
        <v>33</v>
      </c>
      <c r="B41" s="7" t="n">
        <v>28080</v>
      </c>
      <c r="C41" s="7" t="n">
        <v>17220</v>
      </c>
      <c r="D41" s="8" t="n">
        <f aca="false">C41/B41</f>
        <v>0.613247863247863</v>
      </c>
      <c r="E41" s="7" t="n">
        <f aca="false">B41*($K$7+$K$8)</f>
        <v>8424</v>
      </c>
      <c r="F41" s="8" t="n">
        <f aca="false">D41+$K$7+$K$8</f>
        <v>0.913247863247863</v>
      </c>
      <c r="G41" s="7" t="n">
        <f aca="false">B41-C41-E41</f>
        <v>2436</v>
      </c>
      <c r="H41" s="5" t="str">
        <f aca="false">IF(G41&gt;0,"Profitable","Loss-making")</f>
        <v>Profitable</v>
      </c>
    </row>
    <row r="42" customFormat="false" ht="15" hidden="false" customHeight="true" outlineLevel="0" collapsed="false">
      <c r="A42" s="5" t="s">
        <v>58</v>
      </c>
      <c r="B42" s="7" t="n">
        <v>21000</v>
      </c>
      <c r="C42" s="7" t="n">
        <v>14460</v>
      </c>
      <c r="D42" s="8" t="n">
        <f aca="false">C42/B42</f>
        <v>0.688571428571429</v>
      </c>
      <c r="E42" s="7" t="n">
        <f aca="false">B42*($K$7+$K$8)</f>
        <v>6300</v>
      </c>
      <c r="F42" s="8" t="n">
        <f aca="false">D42+$K$7+$K$8</f>
        <v>0.988571428571429</v>
      </c>
      <c r="G42" s="7" t="n">
        <f aca="false">B42-C42-E42</f>
        <v>240</v>
      </c>
      <c r="H42" s="5" t="str">
        <f aca="false">IF(G42&gt;0,"Profitable","Loss-making")</f>
        <v>Profitable</v>
      </c>
    </row>
    <row r="43" customFormat="false" ht="15" hidden="false" customHeight="true" outlineLevel="0" collapsed="false">
      <c r="A43" s="5" t="s">
        <v>54</v>
      </c>
      <c r="B43" s="7" t="n">
        <v>5880</v>
      </c>
      <c r="C43" s="7" t="n">
        <v>3060</v>
      </c>
      <c r="D43" s="8" t="n">
        <f aca="false">C43/B43</f>
        <v>0.520408163265306</v>
      </c>
      <c r="E43" s="7" t="n">
        <f aca="false">B43*($K$7+$K$8)</f>
        <v>1764</v>
      </c>
      <c r="F43" s="8" t="n">
        <f aca="false">D43+$K$7+$K$8</f>
        <v>0.820408163265306</v>
      </c>
      <c r="G43" s="7" t="n">
        <f aca="false">B43-C43-E43</f>
        <v>1056</v>
      </c>
      <c r="H43" s="5" t="str">
        <f aca="false">IF(G43&gt;0,"Profitable","Loss-making")</f>
        <v>Profitable</v>
      </c>
    </row>
    <row r="44" customFormat="false" ht="15" hidden="false" customHeight="true" outlineLevel="0" collapsed="false">
      <c r="A44" s="5" t="s">
        <v>64</v>
      </c>
      <c r="B44" s="7" t="n">
        <v>9900</v>
      </c>
      <c r="C44" s="7" t="n">
        <v>7080</v>
      </c>
      <c r="D44" s="8" t="n">
        <f aca="false">C44/B44</f>
        <v>0.715151515151515</v>
      </c>
      <c r="E44" s="7" t="n">
        <f aca="false">B44*($K$7+$K$8)</f>
        <v>2970</v>
      </c>
      <c r="F44" s="8" t="n">
        <f aca="false">D44+$K$7+$K$8</f>
        <v>1.01515151515152</v>
      </c>
      <c r="G44" s="7" t="n">
        <f aca="false">B44-C44-E44</f>
        <v>-150</v>
      </c>
      <c r="H44" s="5" t="str">
        <f aca="false">IF(G44&gt;0,"Profitable","Loss-making")</f>
        <v>Loss-making</v>
      </c>
    </row>
    <row r="45" customFormat="false" ht="15" hidden="false" customHeight="true" outlineLevel="0" collapsed="false">
      <c r="A45" s="9" t="s">
        <v>373</v>
      </c>
      <c r="B45" s="30" t="n">
        <f aca="false">SUM(B40:B44)</f>
        <v>75960</v>
      </c>
      <c r="C45" s="30" t="n">
        <f aca="false">SUM(C40:C44)</f>
        <v>47940</v>
      </c>
      <c r="D45" s="31" t="n">
        <f aca="false">C45/B45</f>
        <v>0.631121642969984</v>
      </c>
      <c r="E45" s="30" t="n">
        <f aca="false">SUM(E40:E44)</f>
        <v>22788</v>
      </c>
      <c r="F45" s="31" t="n">
        <f aca="false">D45+$K$7+$K$8</f>
        <v>0.931121642969984</v>
      </c>
      <c r="G45" s="30" t="n">
        <f aca="false">SUM(G40:G44)</f>
        <v>5232</v>
      </c>
    </row>
  </sheetData>
  <mergeCells count="5">
    <mergeCell ref="A1:L1"/>
    <mergeCell ref="A2:L2"/>
    <mergeCell ref="A4:L4"/>
    <mergeCell ref="A28:H28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18"/>
    <col collapsed="false" customWidth="true" hidden="false" outlineLevel="0" max="14" min="5" style="1" width="16"/>
  </cols>
  <sheetData>
    <row r="1" customFormat="false" ht="17.25" hidden="false" customHeight="true" outlineLevel="0" collapsed="false">
      <c r="A1" s="2" t="s">
        <v>419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420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27" t="s">
        <v>421</v>
      </c>
      <c r="B4" s="27"/>
      <c r="C4" s="27"/>
      <c r="D4" s="27"/>
      <c r="E4" s="27"/>
    </row>
    <row r="6" customFormat="false" ht="15" hidden="false" customHeight="true" outlineLevel="0" collapsed="false">
      <c r="A6" s="4" t="s">
        <v>422</v>
      </c>
      <c r="B6" s="4" t="s">
        <v>423</v>
      </c>
      <c r="C6" s="4" t="s">
        <v>424</v>
      </c>
    </row>
    <row r="7" customFormat="false" ht="15" hidden="false" customHeight="true" outlineLevel="0" collapsed="false">
      <c r="A7" s="37" t="s">
        <v>425</v>
      </c>
      <c r="B7" s="46" t="n">
        <v>0.0016</v>
      </c>
      <c r="C7" s="47" t="s">
        <v>426</v>
      </c>
    </row>
    <row r="8" customFormat="false" ht="15" hidden="false" customHeight="true" outlineLevel="0" collapsed="false">
      <c r="A8" s="37" t="s">
        <v>427</v>
      </c>
      <c r="B8" s="46" t="n">
        <v>0.0024</v>
      </c>
      <c r="C8" s="47" t="s">
        <v>428</v>
      </c>
    </row>
    <row r="9" customFormat="false" ht="15" hidden="false" customHeight="true" outlineLevel="0" collapsed="false">
      <c r="A9" s="37" t="s">
        <v>429</v>
      </c>
      <c r="B9" s="46" t="n">
        <v>0.004</v>
      </c>
      <c r="C9" s="47" t="s">
        <v>430</v>
      </c>
    </row>
    <row r="10" customFormat="false" ht="15" hidden="false" customHeight="true" outlineLevel="0" collapsed="false">
      <c r="A10" s="37" t="s">
        <v>431</v>
      </c>
      <c r="B10" s="46" t="n">
        <v>0.0012</v>
      </c>
      <c r="C10" s="47" t="s">
        <v>432</v>
      </c>
    </row>
    <row r="11" customFormat="false" ht="15" hidden="false" customHeight="true" outlineLevel="0" collapsed="false">
      <c r="A11" s="37" t="s">
        <v>433</v>
      </c>
      <c r="B11" s="46" t="n">
        <v>0.002</v>
      </c>
      <c r="C11" s="47" t="s">
        <v>434</v>
      </c>
    </row>
    <row r="12" customFormat="false" ht="15" hidden="false" customHeight="true" outlineLevel="0" collapsed="false">
      <c r="A12" s="37" t="s">
        <v>435</v>
      </c>
      <c r="B12" s="40" t="n">
        <v>0.95</v>
      </c>
      <c r="C12" s="47" t="s">
        <v>436</v>
      </c>
    </row>
    <row r="13" customFormat="false" ht="15" hidden="false" customHeight="true" outlineLevel="0" collapsed="false">
      <c r="A13" s="37" t="s">
        <v>437</v>
      </c>
      <c r="B13" s="40" t="n">
        <v>0.1</v>
      </c>
      <c r="C13" s="47" t="s">
        <v>438</v>
      </c>
    </row>
    <row r="14" customFormat="false" ht="15" hidden="false" customHeight="true" outlineLevel="0" collapsed="false">
      <c r="A14" s="37" t="s">
        <v>439</v>
      </c>
      <c r="B14" s="46" t="n">
        <v>0.03</v>
      </c>
      <c r="C14" s="47" t="s">
        <v>440</v>
      </c>
    </row>
    <row r="15" customFormat="false" ht="15" hidden="false" customHeight="true" outlineLevel="0" collapsed="false">
      <c r="A15" s="37" t="s">
        <v>441</v>
      </c>
      <c r="B15" s="46" t="n">
        <v>0.05</v>
      </c>
      <c r="C15" s="47" t="s">
        <v>442</v>
      </c>
    </row>
    <row r="16" customFormat="false" ht="15" hidden="false" customHeight="true" outlineLevel="0" collapsed="false">
      <c r="A16" s="37" t="s">
        <v>443</v>
      </c>
      <c r="B16" s="48" t="n">
        <v>1.18</v>
      </c>
      <c r="C16" s="47" t="s">
        <v>444</v>
      </c>
    </row>
    <row r="17" customFormat="false" ht="15" hidden="false" customHeight="true" outlineLevel="0" collapsed="false">
      <c r="A17" s="37" t="s">
        <v>445</v>
      </c>
      <c r="B17" s="46" t="n">
        <v>0.05</v>
      </c>
      <c r="C17" s="47" t="s">
        <v>446</v>
      </c>
    </row>
    <row r="18" customFormat="false" ht="15" hidden="false" customHeight="true" outlineLevel="0" collapsed="false">
      <c r="A18" s="37" t="s">
        <v>447</v>
      </c>
      <c r="B18" s="40" t="n">
        <v>0.15</v>
      </c>
      <c r="C18" s="47" t="s">
        <v>448</v>
      </c>
    </row>
    <row r="19" customFormat="false" ht="15" hidden="false" customHeight="true" outlineLevel="0" collapsed="false">
      <c r="A19" s="37" t="s">
        <v>449</v>
      </c>
      <c r="B19" s="46" t="n">
        <v>0.08</v>
      </c>
      <c r="C19" s="47" t="s">
        <v>450</v>
      </c>
    </row>
    <row r="22" customFormat="false" ht="15" hidden="false" customHeight="true" outlineLevel="0" collapsed="false">
      <c r="A22" s="27" t="s">
        <v>451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customFormat="false" ht="15" hidden="false" customHeight="true" outlineLevel="0" collapsed="false">
      <c r="A23" s="49" t="s">
        <v>452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</row>
    <row r="24" customFormat="false" ht="23.25" hidden="false" customHeight="true" outlineLevel="0" collapsed="false">
      <c r="A24" s="4" t="s">
        <v>2</v>
      </c>
      <c r="B24" s="4" t="s">
        <v>8</v>
      </c>
      <c r="C24" s="4" t="s">
        <v>5</v>
      </c>
      <c r="D24" s="4" t="s">
        <v>453</v>
      </c>
      <c r="E24" s="4" t="s">
        <v>454</v>
      </c>
      <c r="F24" s="4" t="s">
        <v>455</v>
      </c>
      <c r="G24" s="4" t="s">
        <v>456</v>
      </c>
      <c r="H24" s="4" t="s">
        <v>457</v>
      </c>
      <c r="I24" s="4" t="s">
        <v>458</v>
      </c>
      <c r="J24" s="4" t="s">
        <v>459</v>
      </c>
      <c r="K24" s="4" t="s">
        <v>460</v>
      </c>
      <c r="L24" s="4" t="s">
        <v>461</v>
      </c>
      <c r="M24" s="4" t="s">
        <v>462</v>
      </c>
      <c r="N24" s="4" t="s">
        <v>463</v>
      </c>
    </row>
    <row r="25" customFormat="false" ht="15" hidden="false" customHeight="true" outlineLevel="0" collapsed="false">
      <c r="A25" s="5" t="s">
        <v>464</v>
      </c>
      <c r="B25" s="5" t="s">
        <v>465</v>
      </c>
      <c r="C25" s="5" t="s">
        <v>19</v>
      </c>
      <c r="D25" s="28" t="n">
        <v>2660000</v>
      </c>
      <c r="E25" s="50" t="n">
        <f aca="false">$B7</f>
        <v>0.0016</v>
      </c>
      <c r="F25" s="7" t="n">
        <f aca="false">D25*E25</f>
        <v>4256</v>
      </c>
      <c r="G25" s="51" t="n">
        <f aca="false">$B$12</f>
        <v>0.95</v>
      </c>
      <c r="H25" s="7" t="n">
        <f aca="false">F25*G25*(1+$B$13+$B$14+$B$15)</f>
        <v>4770.976</v>
      </c>
      <c r="I25" s="7" t="n">
        <f aca="false">H25*$B$16</f>
        <v>5629.75168</v>
      </c>
      <c r="J25" s="7" t="n">
        <f aca="false">I25*(1-$B$17)</f>
        <v>5348.264096</v>
      </c>
      <c r="K25" s="7" t="n">
        <f aca="false">J25*(1+$B$18+$B$19)</f>
        <v>6578.36483808</v>
      </c>
      <c r="L25" s="7" t="n">
        <f aca="false">K25</f>
        <v>6578.36483808</v>
      </c>
      <c r="M25" s="28" t="n">
        <v>8200</v>
      </c>
      <c r="N25" s="8" t="n">
        <f aca="false">(L25-M25)/M25</f>
        <v>-0.1977603856</v>
      </c>
    </row>
    <row r="26" customFormat="false" ht="15" hidden="false" customHeight="true" outlineLevel="0" collapsed="false">
      <c r="A26" s="5" t="s">
        <v>466</v>
      </c>
      <c r="B26" s="5" t="s">
        <v>197</v>
      </c>
      <c r="C26" s="5" t="s">
        <v>19</v>
      </c>
      <c r="D26" s="28" t="n">
        <v>725000</v>
      </c>
      <c r="E26" s="50" t="n">
        <f aca="false">$B7</f>
        <v>0.0016</v>
      </c>
      <c r="F26" s="7" t="n">
        <f aca="false">D26*E26</f>
        <v>1160</v>
      </c>
      <c r="G26" s="51" t="n">
        <f aca="false">$B$12</f>
        <v>0.95</v>
      </c>
      <c r="H26" s="7" t="n">
        <f aca="false">F26*G26*(1+$B$13+$B$14+$B$15)</f>
        <v>1300.36</v>
      </c>
      <c r="I26" s="7" t="n">
        <f aca="false">H26*$B$16</f>
        <v>1534.4248</v>
      </c>
      <c r="J26" s="7" t="n">
        <f aca="false">I26</f>
        <v>1534.4248</v>
      </c>
      <c r="K26" s="7" t="n">
        <f aca="false">J26*(1+$B$18+$B$19)</f>
        <v>1887.342504</v>
      </c>
      <c r="L26" s="7" t="n">
        <f aca="false">K26</f>
        <v>1887.342504</v>
      </c>
      <c r="M26" s="28" t="n">
        <v>2400</v>
      </c>
      <c r="N26" s="8" t="n">
        <f aca="false">(L26-M26)/M26</f>
        <v>-0.21360729</v>
      </c>
    </row>
    <row r="27" customFormat="false" ht="15" hidden="false" customHeight="true" outlineLevel="0" collapsed="false">
      <c r="A27" s="5" t="s">
        <v>467</v>
      </c>
      <c r="B27" s="5" t="s">
        <v>468</v>
      </c>
      <c r="C27" s="5" t="s">
        <v>19</v>
      </c>
      <c r="D27" s="28" t="n">
        <v>625000</v>
      </c>
      <c r="E27" s="50" t="n">
        <f aca="false">$B7</f>
        <v>0.0016</v>
      </c>
      <c r="F27" s="7" t="n">
        <f aca="false">D27*E27</f>
        <v>1000</v>
      </c>
      <c r="G27" s="51" t="n">
        <f aca="false">$B$12</f>
        <v>0.95</v>
      </c>
      <c r="H27" s="7" t="n">
        <f aca="false">F27*G27*(1+$B$13+$B$14+$B$15)</f>
        <v>1121</v>
      </c>
      <c r="I27" s="7" t="n">
        <f aca="false">H27*$B$16</f>
        <v>1322.78</v>
      </c>
      <c r="J27" s="7" t="n">
        <f aca="false">I27*(1-$B$17)</f>
        <v>1256.641</v>
      </c>
      <c r="K27" s="7" t="n">
        <f aca="false">J27*(1+$B$18+$B$19)</f>
        <v>1545.66843</v>
      </c>
      <c r="L27" s="7" t="n">
        <f aca="false">K27</f>
        <v>1545.66843</v>
      </c>
      <c r="M27" s="28" t="n">
        <v>1950</v>
      </c>
      <c r="N27" s="8" t="n">
        <f aca="false">(L27-M27)/M27</f>
        <v>-0.207349523076923</v>
      </c>
    </row>
    <row r="28" customFormat="false" ht="15" hidden="false" customHeight="true" outlineLevel="0" collapsed="false">
      <c r="A28" s="5" t="s">
        <v>469</v>
      </c>
      <c r="B28" s="5" t="s">
        <v>470</v>
      </c>
      <c r="C28" s="5" t="s">
        <v>19</v>
      </c>
      <c r="D28" s="28" t="n">
        <v>841000</v>
      </c>
      <c r="E28" s="50" t="n">
        <f aca="false">$B7</f>
        <v>0.0016</v>
      </c>
      <c r="F28" s="7" t="n">
        <f aca="false">D28*E28</f>
        <v>1345.6</v>
      </c>
      <c r="G28" s="51" t="n">
        <f aca="false">$B$12</f>
        <v>0.95</v>
      </c>
      <c r="H28" s="7" t="n">
        <f aca="false">F28*G28*(1+$B$13+$B$14+$B$15)</f>
        <v>1508.4176</v>
      </c>
      <c r="I28" s="7" t="n">
        <f aca="false">H28*$B$16</f>
        <v>1779.932768</v>
      </c>
      <c r="J28" s="7" t="n">
        <f aca="false">I28</f>
        <v>1779.932768</v>
      </c>
      <c r="K28" s="7" t="n">
        <f aca="false">J28*(1+$B$18+$B$19)</f>
        <v>2189.31730464</v>
      </c>
      <c r="L28" s="7" t="n">
        <f aca="false">K28</f>
        <v>2189.31730464</v>
      </c>
      <c r="M28" s="28" t="n">
        <v>2800</v>
      </c>
      <c r="N28" s="8" t="n">
        <f aca="false">(L28-M28)/M28</f>
        <v>-0.218100962628571</v>
      </c>
    </row>
    <row r="29" customFormat="false" ht="15" hidden="false" customHeight="true" outlineLevel="0" collapsed="false">
      <c r="A29" s="5" t="s">
        <v>471</v>
      </c>
      <c r="B29" s="5" t="s">
        <v>472</v>
      </c>
      <c r="C29" s="5" t="s">
        <v>33</v>
      </c>
      <c r="D29" s="28" t="n">
        <v>8500000</v>
      </c>
      <c r="E29" s="50" t="n">
        <f aca="false">$B8</f>
        <v>0.0024</v>
      </c>
      <c r="F29" s="7" t="n">
        <f aca="false">D29*E29</f>
        <v>20400</v>
      </c>
      <c r="G29" s="51" t="n">
        <f aca="false">$B$12</f>
        <v>0.95</v>
      </c>
      <c r="H29" s="7" t="n">
        <f aca="false">F29*G29*(1+$B$13+$B$14+$B$15)</f>
        <v>22868.4</v>
      </c>
      <c r="I29" s="7" t="n">
        <f aca="false">H29*$B$16</f>
        <v>26984.712</v>
      </c>
      <c r="J29" s="7" t="n">
        <f aca="false">I29</f>
        <v>26984.712</v>
      </c>
      <c r="K29" s="7" t="n">
        <f aca="false">J29*(1+$B$18+$B$19)</f>
        <v>33191.19576</v>
      </c>
      <c r="L29" s="7" t="n">
        <f aca="false">K29</f>
        <v>33191.19576</v>
      </c>
      <c r="M29" s="28" t="n">
        <v>35800</v>
      </c>
      <c r="N29" s="8" t="n">
        <f aca="false">(L29-M29)/M29</f>
        <v>-0.0728716268156424</v>
      </c>
    </row>
    <row r="30" customFormat="false" ht="15" hidden="false" customHeight="true" outlineLevel="0" collapsed="false">
      <c r="A30" s="5" t="s">
        <v>473</v>
      </c>
      <c r="B30" s="5" t="s">
        <v>474</v>
      </c>
      <c r="C30" s="5" t="s">
        <v>33</v>
      </c>
      <c r="D30" s="28" t="n">
        <v>6980000</v>
      </c>
      <c r="E30" s="50" t="n">
        <f aca="false">$B8</f>
        <v>0.0024</v>
      </c>
      <c r="F30" s="7" t="n">
        <f aca="false">D30*E30</f>
        <v>16752</v>
      </c>
      <c r="G30" s="51" t="n">
        <f aca="false">$B$12</f>
        <v>0.95</v>
      </c>
      <c r="H30" s="7" t="n">
        <f aca="false">F30*G30*(1+$B$13+$B$14+$B$15)</f>
        <v>18778.992</v>
      </c>
      <c r="I30" s="7" t="n">
        <f aca="false">H30*$B$16</f>
        <v>22159.21056</v>
      </c>
      <c r="J30" s="7" t="n">
        <f aca="false">I30</f>
        <v>22159.21056</v>
      </c>
      <c r="K30" s="7" t="n">
        <f aca="false">J30*(1+$B$18+$B$19)</f>
        <v>27255.8289888</v>
      </c>
      <c r="L30" s="7" t="n">
        <f aca="false">K30</f>
        <v>27255.8289888</v>
      </c>
      <c r="M30" s="28" t="n">
        <v>29500</v>
      </c>
      <c r="N30" s="8" t="n">
        <f aca="false">(L30-M30)/M30</f>
        <v>-0.0760735936</v>
      </c>
    </row>
    <row r="31" customFormat="false" ht="15" hidden="false" customHeight="true" outlineLevel="0" collapsed="false">
      <c r="A31" s="5" t="s">
        <v>475</v>
      </c>
      <c r="B31" s="5" t="s">
        <v>476</v>
      </c>
      <c r="C31" s="5" t="s">
        <v>33</v>
      </c>
      <c r="D31" s="28" t="n">
        <v>5850000</v>
      </c>
      <c r="E31" s="50" t="n">
        <f aca="false">$B8</f>
        <v>0.0024</v>
      </c>
      <c r="F31" s="7" t="n">
        <f aca="false">D31*E31</f>
        <v>14040</v>
      </c>
      <c r="G31" s="51" t="n">
        <f aca="false">$B$12</f>
        <v>0.95</v>
      </c>
      <c r="H31" s="7" t="n">
        <f aca="false">F31*G31*(1+$B$13+$B$14+$B$15)</f>
        <v>15738.84</v>
      </c>
      <c r="I31" s="7" t="n">
        <f aca="false">H31*$B$16</f>
        <v>18571.8312</v>
      </c>
      <c r="J31" s="7" t="n">
        <f aca="false">I31*(1-$B$17)</f>
        <v>17643.23964</v>
      </c>
      <c r="K31" s="7" t="n">
        <f aca="false">J31*(1+$B$18+$B$19)</f>
        <v>21701.1847572</v>
      </c>
      <c r="L31" s="7" t="n">
        <f aca="false">K31</f>
        <v>21701.1847572</v>
      </c>
      <c r="M31" s="28" t="n">
        <v>23100</v>
      </c>
      <c r="N31" s="8" t="n">
        <f aca="false">(L31-M31)/M31</f>
        <v>-0.0605547724155844</v>
      </c>
    </row>
    <row r="32" customFormat="false" ht="15" hidden="false" customHeight="true" outlineLevel="0" collapsed="false">
      <c r="A32" s="5" t="s">
        <v>477</v>
      </c>
      <c r="B32" s="5" t="s">
        <v>478</v>
      </c>
      <c r="C32" s="5" t="s">
        <v>33</v>
      </c>
      <c r="D32" s="28" t="n">
        <v>7900000</v>
      </c>
      <c r="E32" s="50" t="n">
        <f aca="false">$B8</f>
        <v>0.0024</v>
      </c>
      <c r="F32" s="7" t="n">
        <f aca="false">D32*E32</f>
        <v>18960</v>
      </c>
      <c r="G32" s="51" t="n">
        <f aca="false">$B$12</f>
        <v>0.95</v>
      </c>
      <c r="H32" s="7" t="n">
        <f aca="false">F32*G32*(1+$B$13+$B$14+$B$15)</f>
        <v>21254.16</v>
      </c>
      <c r="I32" s="7" t="n">
        <f aca="false">H32*$B$16</f>
        <v>25079.9088</v>
      </c>
      <c r="J32" s="7" t="n">
        <f aca="false">I32</f>
        <v>25079.9088</v>
      </c>
      <c r="K32" s="7" t="n">
        <f aca="false">J32*(1+$B$18+$B$19)</f>
        <v>30848.287824</v>
      </c>
      <c r="L32" s="7" t="n">
        <f aca="false">K32</f>
        <v>30848.287824</v>
      </c>
      <c r="M32" s="28" t="n">
        <v>33200</v>
      </c>
      <c r="N32" s="8" t="n">
        <f aca="false">(L32-M32)/M32</f>
        <v>-0.0708347040963856</v>
      </c>
    </row>
    <row r="33" customFormat="false" ht="15" hidden="false" customHeight="true" outlineLevel="0" collapsed="false">
      <c r="A33" s="5" t="s">
        <v>479</v>
      </c>
      <c r="B33" s="5" t="s">
        <v>480</v>
      </c>
      <c r="C33" s="5" t="s">
        <v>33</v>
      </c>
      <c r="D33" s="28" t="n">
        <v>9350000</v>
      </c>
      <c r="E33" s="50" t="n">
        <f aca="false">$B8</f>
        <v>0.0024</v>
      </c>
      <c r="F33" s="7" t="n">
        <f aca="false">D33*E33</f>
        <v>22440</v>
      </c>
      <c r="G33" s="51" t="n">
        <f aca="false">$B$12</f>
        <v>0.95</v>
      </c>
      <c r="H33" s="7" t="n">
        <f aca="false">F33*G33*(1+$B$13+$B$14+$B$15)</f>
        <v>25155.24</v>
      </c>
      <c r="I33" s="7" t="n">
        <f aca="false">H33*$B$16</f>
        <v>29683.1832</v>
      </c>
      <c r="J33" s="7" t="n">
        <f aca="false">I33</f>
        <v>29683.1832</v>
      </c>
      <c r="K33" s="7" t="n">
        <f aca="false">J33*(1+$B$18+$B$19)</f>
        <v>36510.315336</v>
      </c>
      <c r="L33" s="7" t="n">
        <f aca="false">K33</f>
        <v>36510.315336</v>
      </c>
      <c r="M33" s="28" t="n">
        <v>40100</v>
      </c>
      <c r="N33" s="8" t="n">
        <f aca="false">(L33-M33)/M33</f>
        <v>-0.0895183207980052</v>
      </c>
    </row>
    <row r="34" customFormat="false" ht="15" hidden="false" customHeight="true" outlineLevel="0" collapsed="false">
      <c r="A34" s="5" t="s">
        <v>481</v>
      </c>
      <c r="B34" s="5" t="s">
        <v>482</v>
      </c>
      <c r="C34" s="5" t="s">
        <v>33</v>
      </c>
      <c r="D34" s="28" t="n">
        <v>6470000</v>
      </c>
      <c r="E34" s="50" t="n">
        <f aca="false">$B8</f>
        <v>0.0024</v>
      </c>
      <c r="F34" s="7" t="n">
        <f aca="false">D34*E34</f>
        <v>15528</v>
      </c>
      <c r="G34" s="51" t="n">
        <f aca="false">$B$12</f>
        <v>0.95</v>
      </c>
      <c r="H34" s="7" t="n">
        <f aca="false">F34*G34*(1+$B$13+$B$14+$B$15)</f>
        <v>17406.888</v>
      </c>
      <c r="I34" s="7" t="n">
        <f aca="false">H34*$B$16</f>
        <v>20540.12784</v>
      </c>
      <c r="J34" s="7" t="n">
        <f aca="false">I34</f>
        <v>20540.12784</v>
      </c>
      <c r="K34" s="7" t="n">
        <f aca="false">J34*(1+$B$18+$B$19)</f>
        <v>25264.3572432</v>
      </c>
      <c r="L34" s="7" t="n">
        <f aca="false">K34</f>
        <v>25264.3572432</v>
      </c>
      <c r="M34" s="28" t="n">
        <v>27800</v>
      </c>
      <c r="N34" s="8" t="n">
        <f aca="false">(L34-M34)/M34</f>
        <v>-0.0912101711079138</v>
      </c>
    </row>
    <row r="35" customFormat="false" ht="15" hidden="false" customHeight="true" outlineLevel="0" collapsed="false">
      <c r="A35" s="5" t="s">
        <v>483</v>
      </c>
      <c r="B35" s="5" t="s">
        <v>484</v>
      </c>
      <c r="C35" s="5" t="s">
        <v>33</v>
      </c>
      <c r="D35" s="28" t="n">
        <v>5530000</v>
      </c>
      <c r="E35" s="50" t="n">
        <f aca="false">$B8</f>
        <v>0.0024</v>
      </c>
      <c r="F35" s="7" t="n">
        <f aca="false">D35*E35</f>
        <v>13272</v>
      </c>
      <c r="G35" s="51" t="n">
        <f aca="false">$B$12</f>
        <v>0.95</v>
      </c>
      <c r="H35" s="7" t="n">
        <f aca="false">F35*G35*(1+$B$13+$B$14+$B$15)</f>
        <v>14877.912</v>
      </c>
      <c r="I35" s="7" t="n">
        <f aca="false">H35*$B$16</f>
        <v>17555.93616</v>
      </c>
      <c r="J35" s="7" t="n">
        <f aca="false">I35*(1-$B$17)</f>
        <v>16678.139352</v>
      </c>
      <c r="K35" s="7" t="n">
        <f aca="false">J35*(1+$B$18+$B$19)</f>
        <v>20514.11140296</v>
      </c>
      <c r="L35" s="7" t="n">
        <f aca="false">K35</f>
        <v>20514.11140296</v>
      </c>
      <c r="M35" s="28" t="n">
        <v>22600</v>
      </c>
      <c r="N35" s="8" t="n">
        <f aca="false">(L35-M35)/M35</f>
        <v>-0.0922959556212388</v>
      </c>
    </row>
    <row r="36" customFormat="false" ht="15" hidden="false" customHeight="true" outlineLevel="0" collapsed="false">
      <c r="A36" s="5" t="s">
        <v>485</v>
      </c>
      <c r="B36" s="5" t="s">
        <v>486</v>
      </c>
      <c r="C36" s="5" t="s">
        <v>58</v>
      </c>
      <c r="D36" s="28" t="n">
        <v>12000000</v>
      </c>
      <c r="E36" s="50" t="n">
        <f aca="false">$B9</f>
        <v>0.004</v>
      </c>
      <c r="F36" s="7" t="n">
        <f aca="false">D36*E36</f>
        <v>48000</v>
      </c>
      <c r="G36" s="51" t="n">
        <f aca="false">$B$12</f>
        <v>0.95</v>
      </c>
      <c r="H36" s="7" t="n">
        <f aca="false">F36*G36*(1+$B$13+$B$14+$B$15)</f>
        <v>53808</v>
      </c>
      <c r="I36" s="7" t="n">
        <f aca="false">H36*$B$16</f>
        <v>63493.44</v>
      </c>
      <c r="J36" s="7" t="n">
        <f aca="false">I36</f>
        <v>63493.44</v>
      </c>
      <c r="K36" s="7" t="n">
        <f aca="false">J36*(1+$B$18+$B$19)</f>
        <v>78096.9312</v>
      </c>
      <c r="L36" s="7" t="n">
        <f aca="false">K36</f>
        <v>78096.9312</v>
      </c>
      <c r="M36" s="28" t="n">
        <v>42000</v>
      </c>
      <c r="N36" s="8" t="n">
        <f aca="false">(L36-M36)/M36</f>
        <v>0.859450742857143</v>
      </c>
    </row>
    <row r="37" customFormat="false" ht="15" hidden="false" customHeight="true" outlineLevel="0" collapsed="false">
      <c r="A37" s="5" t="s">
        <v>487</v>
      </c>
      <c r="B37" s="5" t="s">
        <v>488</v>
      </c>
      <c r="C37" s="5" t="s">
        <v>58</v>
      </c>
      <c r="D37" s="28" t="n">
        <v>8000000</v>
      </c>
      <c r="E37" s="50" t="n">
        <f aca="false">$B9</f>
        <v>0.004</v>
      </c>
      <c r="F37" s="7" t="n">
        <f aca="false">D37*E37</f>
        <v>32000</v>
      </c>
      <c r="G37" s="51" t="n">
        <f aca="false">$B$12</f>
        <v>0.95</v>
      </c>
      <c r="H37" s="7" t="n">
        <f aca="false">F37*G37*(1+$B$13+$B$14+$B$15)</f>
        <v>35872</v>
      </c>
      <c r="I37" s="7" t="n">
        <f aca="false">H37*$B$16</f>
        <v>42328.96</v>
      </c>
      <c r="J37" s="7" t="n">
        <f aca="false">I37</f>
        <v>42328.96</v>
      </c>
      <c r="K37" s="7" t="n">
        <f aca="false">J37*(1+$B$18+$B$19)</f>
        <v>52064.6208</v>
      </c>
      <c r="L37" s="7" t="n">
        <f aca="false">K37</f>
        <v>52064.6208</v>
      </c>
      <c r="M37" s="28" t="n">
        <v>28000</v>
      </c>
      <c r="N37" s="8" t="n">
        <f aca="false">(L37-M37)/M37</f>
        <v>0.859450742857143</v>
      </c>
    </row>
    <row r="38" customFormat="false" ht="15" hidden="false" customHeight="true" outlineLevel="0" collapsed="false">
      <c r="A38" s="5" t="s">
        <v>489</v>
      </c>
      <c r="B38" s="5" t="s">
        <v>490</v>
      </c>
      <c r="C38" s="5" t="s">
        <v>54</v>
      </c>
      <c r="D38" s="28" t="n">
        <v>4500000</v>
      </c>
      <c r="E38" s="50" t="n">
        <f aca="false">$B10</f>
        <v>0.0012</v>
      </c>
      <c r="F38" s="7" t="n">
        <f aca="false">D38*E38</f>
        <v>5400</v>
      </c>
      <c r="G38" s="51" t="n">
        <f aca="false">$B$12</f>
        <v>0.95</v>
      </c>
      <c r="H38" s="7" t="n">
        <f aca="false">F38*G38*(1+$B$13+$B$14+$B$15)</f>
        <v>6053.4</v>
      </c>
      <c r="I38" s="7" t="n">
        <f aca="false">H38*$B$16</f>
        <v>7143.012</v>
      </c>
      <c r="J38" s="7" t="n">
        <f aca="false">I38*(1-$B$17)</f>
        <v>6785.8614</v>
      </c>
      <c r="K38" s="7" t="n">
        <f aca="false">J38*(1+$B$18+$B$19)</f>
        <v>8346.609522</v>
      </c>
      <c r="L38" s="7" t="n">
        <f aca="false">K38</f>
        <v>8346.609522</v>
      </c>
      <c r="M38" s="28" t="n">
        <v>8800</v>
      </c>
      <c r="N38" s="8" t="n">
        <f aca="false">(L38-M38)/M38</f>
        <v>-0.0515216452272729</v>
      </c>
    </row>
    <row r="39" customFormat="false" ht="15" hidden="false" customHeight="true" outlineLevel="0" collapsed="false">
      <c r="A39" s="5" t="s">
        <v>491</v>
      </c>
      <c r="B39" s="5" t="s">
        <v>492</v>
      </c>
      <c r="C39" s="5" t="s">
        <v>64</v>
      </c>
      <c r="D39" s="28" t="n">
        <v>20300000</v>
      </c>
      <c r="E39" s="50" t="n">
        <f aca="false">$B11</f>
        <v>0.002</v>
      </c>
      <c r="F39" s="7" t="n">
        <f aca="false">D39*E39</f>
        <v>40600</v>
      </c>
      <c r="G39" s="51" t="n">
        <f aca="false">$B$12</f>
        <v>0.95</v>
      </c>
      <c r="H39" s="7" t="n">
        <f aca="false">F39*G39*(1+$B$13+$B$14+$B$15)</f>
        <v>45512.6</v>
      </c>
      <c r="I39" s="7" t="n">
        <f aca="false">H39*$B$16</f>
        <v>53704.868</v>
      </c>
      <c r="J39" s="7" t="n">
        <f aca="false">I39</f>
        <v>53704.868</v>
      </c>
      <c r="K39" s="7" t="n">
        <f aca="false">J39*(1+$B$18+$B$19)</f>
        <v>66056.98764</v>
      </c>
      <c r="L39" s="7" t="n">
        <f aca="false">K39</f>
        <v>66056.98764</v>
      </c>
      <c r="M39" s="28" t="n">
        <v>72000</v>
      </c>
      <c r="N39" s="8" t="n">
        <f aca="false">(L39-M39)/M39</f>
        <v>-0.0825418383333332</v>
      </c>
    </row>
    <row r="40" customFormat="false" ht="15" hidden="false" customHeight="true" outlineLevel="0" collapsed="false">
      <c r="A40" s="5" t="s">
        <v>493</v>
      </c>
      <c r="B40" s="5" t="s">
        <v>494</v>
      </c>
      <c r="C40" s="5" t="s">
        <v>64</v>
      </c>
      <c r="D40" s="28" t="n">
        <v>4200000</v>
      </c>
      <c r="E40" s="50" t="n">
        <f aca="false">$B11</f>
        <v>0.002</v>
      </c>
      <c r="F40" s="7" t="n">
        <f aca="false">D40*E40</f>
        <v>8400</v>
      </c>
      <c r="G40" s="51" t="n">
        <f aca="false">$B$12</f>
        <v>0.95</v>
      </c>
      <c r="H40" s="7" t="n">
        <f aca="false">F40*G40*(1+$B$13+$B$14+$B$15)</f>
        <v>9416.4</v>
      </c>
      <c r="I40" s="7" t="n">
        <f aca="false">H40*$B$16</f>
        <v>11111.352</v>
      </c>
      <c r="J40" s="7" t="n">
        <f aca="false">I40*(1-$B$17)</f>
        <v>10555.7844</v>
      </c>
      <c r="K40" s="7" t="n">
        <f aca="false">J40*(1+$B$18+$B$19)</f>
        <v>12983.614812</v>
      </c>
      <c r="L40" s="7" t="n">
        <f aca="false">K40</f>
        <v>12983.614812</v>
      </c>
      <c r="M40" s="28" t="n">
        <v>14500</v>
      </c>
      <c r="N40" s="8" t="n">
        <f aca="false">(L40-M40)/M40</f>
        <v>-0.104578288827586</v>
      </c>
    </row>
    <row r="41" customFormat="false" ht="15" hidden="false" customHeight="true" outlineLevel="0" collapsed="false">
      <c r="A41" s="9" t="s">
        <v>495</v>
      </c>
      <c r="D41" s="30" t="n">
        <f aca="false">SUM(D25:D40)</f>
        <v>104431000</v>
      </c>
      <c r="F41" s="30" t="n">
        <f aca="false">SUM(F25:F40)</f>
        <v>263553.6</v>
      </c>
      <c r="H41" s="30" t="n">
        <f aca="false">SUM(H25:H40)</f>
        <v>295443.5856</v>
      </c>
      <c r="I41" s="30" t="n">
        <f aca="false">SUM(I25:I40)</f>
        <v>348623.431008</v>
      </c>
      <c r="J41" s="30" t="n">
        <f aca="false">SUM(J25:J40)</f>
        <v>345556.697856</v>
      </c>
      <c r="K41" s="30" t="n">
        <f aca="false">SUM(K25:K40)</f>
        <v>425034.73836288</v>
      </c>
      <c r="L41" s="30" t="n">
        <f aca="false">SUM(L25:L40)</f>
        <v>425034.73836288</v>
      </c>
      <c r="M41" s="30" t="n">
        <f aca="false">SUM(M25:M40)</f>
        <v>392750</v>
      </c>
      <c r="N41" s="31" t="n">
        <f aca="false">(L41-M41)/M41</f>
        <v>0.082201752674424</v>
      </c>
    </row>
    <row r="44" customFormat="false" ht="15" hidden="false" customHeight="true" outlineLevel="0" collapsed="false">
      <c r="A44" s="27" t="s">
        <v>496</v>
      </c>
      <c r="B44" s="27"/>
      <c r="C44" s="27"/>
      <c r="D44" s="27"/>
      <c r="E44" s="27"/>
      <c r="F44" s="27"/>
      <c r="G44" s="27"/>
      <c r="H44" s="27"/>
    </row>
    <row r="45" customFormat="false" ht="23.25" hidden="false" customHeight="true" outlineLevel="0" collapsed="false">
      <c r="A45" s="4" t="s">
        <v>5</v>
      </c>
      <c r="B45" s="4" t="s">
        <v>461</v>
      </c>
      <c r="C45" s="4" t="s">
        <v>497</v>
      </c>
      <c r="D45" s="4" t="s">
        <v>498</v>
      </c>
      <c r="E45" s="4" t="s">
        <v>499</v>
      </c>
      <c r="F45" s="4" t="s">
        <v>500</v>
      </c>
      <c r="G45" s="4" t="s">
        <v>501</v>
      </c>
      <c r="H45" s="4" t="s">
        <v>502</v>
      </c>
    </row>
    <row r="46" customFormat="false" ht="15" hidden="false" customHeight="true" outlineLevel="0" collapsed="false">
      <c r="A46" s="5" t="s">
        <v>19</v>
      </c>
      <c r="B46" s="7" t="n">
        <f aca="false">L25+L26+L27+L28</f>
        <v>12200.69307672</v>
      </c>
      <c r="C46" s="28" t="n">
        <v>7200</v>
      </c>
      <c r="D46" s="8" t="n">
        <f aca="false">C46/B46</f>
        <v>0.590130409373074</v>
      </c>
      <c r="E46" s="7" t="n">
        <f aca="false">C46/(1-$K$7-$K$8)</f>
        <v>7200</v>
      </c>
      <c r="F46" s="7" t="n">
        <f aca="false">B46-E46</f>
        <v>5000.69307672</v>
      </c>
      <c r="G46" s="8" t="n">
        <f aca="false">F46/E46</f>
        <v>0.6945407051</v>
      </c>
      <c r="H46" s="5" t="str">
        <f aca="false">IF(G46&gt;0.1,"Adequate",IF(G46&gt;0,"Marginal","Inadequate"))</f>
        <v>Adequate</v>
      </c>
    </row>
    <row r="47" customFormat="false" ht="15" hidden="false" customHeight="true" outlineLevel="0" collapsed="false">
      <c r="A47" s="5" t="s">
        <v>33</v>
      </c>
      <c r="B47" s="7" t="n">
        <f aca="false">L29+L30+L31+L32+L33+L34+L35</f>
        <v>195285.28131216</v>
      </c>
      <c r="C47" s="28" t="n">
        <v>58000</v>
      </c>
      <c r="D47" s="8" t="n">
        <f aca="false">C47/B47</f>
        <v>0.29700139001919</v>
      </c>
      <c r="E47" s="7" t="n">
        <f aca="false">C47/(1-$K$7-$K$8)</f>
        <v>58000</v>
      </c>
      <c r="F47" s="7" t="n">
        <f aca="false">B47-E47</f>
        <v>137285.28131216</v>
      </c>
      <c r="G47" s="8" t="n">
        <f aca="false">F47/E47</f>
        <v>2.36698760883034</v>
      </c>
      <c r="H47" s="5" t="str">
        <f aca="false">IF(G47&gt;0.1,"Adequate",IF(G47&gt;0,"Marginal","Inadequate"))</f>
        <v>Adequate</v>
      </c>
    </row>
    <row r="48" customFormat="false" ht="15" hidden="false" customHeight="true" outlineLevel="0" collapsed="false">
      <c r="A48" s="5" t="s">
        <v>58</v>
      </c>
      <c r="B48" s="7" t="n">
        <f aca="false">L36+L37</f>
        <v>130161.552</v>
      </c>
      <c r="C48" s="28" t="n">
        <v>38000</v>
      </c>
      <c r="D48" s="8" t="n">
        <f aca="false">C48/B48</f>
        <v>0.291944890146977</v>
      </c>
      <c r="E48" s="7" t="n">
        <f aca="false">C48/(1-$K$7-$K$8)</f>
        <v>38000</v>
      </c>
      <c r="F48" s="7" t="n">
        <f aca="false">B48-E48</f>
        <v>92161.552</v>
      </c>
      <c r="G48" s="8" t="n">
        <f aca="false">F48/E48</f>
        <v>2.425304</v>
      </c>
      <c r="H48" s="5" t="str">
        <f aca="false">IF(G48&gt;0.1,"Adequate",IF(G48&gt;0,"Marginal","Inadequate"))</f>
        <v>Adequate</v>
      </c>
    </row>
    <row r="49" customFormat="false" ht="15" hidden="false" customHeight="true" outlineLevel="0" collapsed="false">
      <c r="A49" s="5" t="s">
        <v>54</v>
      </c>
      <c r="B49" s="7" t="n">
        <f aca="false">L38</f>
        <v>8346.609522</v>
      </c>
      <c r="C49" s="28" t="n">
        <v>4800</v>
      </c>
      <c r="D49" s="8" t="n">
        <f aca="false">C49/B49</f>
        <v>0.575083809461573</v>
      </c>
      <c r="E49" s="7" t="n">
        <f aca="false">C49/(1-$K$7-$K$8)</f>
        <v>4800</v>
      </c>
      <c r="F49" s="7" t="n">
        <f aca="false">B49-E49</f>
        <v>3546.609522</v>
      </c>
      <c r="G49" s="8" t="n">
        <f aca="false">F49/E49</f>
        <v>0.73887698375</v>
      </c>
      <c r="H49" s="5" t="str">
        <f aca="false">IF(G49&gt;0.1,"Adequate",IF(G49&gt;0,"Marginal","Inadequate"))</f>
        <v>Adequate</v>
      </c>
    </row>
    <row r="50" customFormat="false" ht="15" hidden="false" customHeight="true" outlineLevel="0" collapsed="false">
      <c r="A50" s="5" t="s">
        <v>64</v>
      </c>
      <c r="B50" s="7" t="n">
        <f aca="false">L39+L40</f>
        <v>79040.602452</v>
      </c>
      <c r="C50" s="28" t="n">
        <v>25000</v>
      </c>
      <c r="D50" s="8" t="n">
        <f aca="false">C50/B50</f>
        <v>0.316293135735929</v>
      </c>
      <c r="E50" s="7" t="n">
        <f aca="false">C50/(1-$K$7-$K$8)</f>
        <v>25000</v>
      </c>
      <c r="F50" s="7" t="n">
        <f aca="false">B50-E50</f>
        <v>54040.602452</v>
      </c>
      <c r="G50" s="8" t="n">
        <f aca="false">F50/E50</f>
        <v>2.16162409808</v>
      </c>
      <c r="H50" s="5" t="str">
        <f aca="false">IF(G50&gt;0.1,"Adequate",IF(G50&gt;0,"Marginal","Inadequate"))</f>
        <v>Adequate</v>
      </c>
    </row>
    <row r="51" customFormat="false" ht="15" hidden="false" customHeight="true" outlineLevel="0" collapsed="false">
      <c r="A51" s="9" t="s">
        <v>373</v>
      </c>
      <c r="B51" s="30" t="n">
        <f aca="false">SUM(B46:B50)</f>
        <v>425034.73836288</v>
      </c>
      <c r="C51" s="30" t="n">
        <f aca="false">SUM(C46:C50)</f>
        <v>133000</v>
      </c>
      <c r="D51" s="31" t="n">
        <f aca="false">C51/B51</f>
        <v>0.312915599586708</v>
      </c>
      <c r="E51" s="30" t="n">
        <f aca="false">SUM(E46:E50)</f>
        <v>133000</v>
      </c>
      <c r="F51" s="30" t="n">
        <f aca="false">SUM(F46:F50)</f>
        <v>292034.73836288</v>
      </c>
      <c r="G51" s="31" t="n">
        <f aca="false">F51/E51</f>
        <v>2.19574991250286</v>
      </c>
    </row>
    <row r="54" customFormat="false" ht="15" hidden="false" customHeight="true" outlineLevel="0" collapsed="false">
      <c r="A54" s="27" t="s">
        <v>503</v>
      </c>
      <c r="B54" s="27"/>
      <c r="C54" s="27"/>
      <c r="D54" s="27"/>
      <c r="E54" s="27"/>
      <c r="F54" s="27"/>
    </row>
    <row r="55" customFormat="false" ht="23.25" hidden="false" customHeight="true" outlineLevel="0" collapsed="false">
      <c r="A55" s="4" t="s">
        <v>504</v>
      </c>
      <c r="B55" s="4" t="s">
        <v>456</v>
      </c>
      <c r="C55" s="4" t="s">
        <v>505</v>
      </c>
      <c r="D55" s="4" t="s">
        <v>506</v>
      </c>
      <c r="E55" s="4" t="s">
        <v>507</v>
      </c>
      <c r="F55" s="4" t="s">
        <v>508</v>
      </c>
    </row>
    <row r="56" customFormat="false" ht="15" hidden="false" customHeight="true" outlineLevel="0" collapsed="false">
      <c r="A56" s="5" t="s">
        <v>509</v>
      </c>
      <c r="B56" s="48" t="n">
        <v>0.85</v>
      </c>
      <c r="C56" s="48" t="n">
        <v>0.95</v>
      </c>
      <c r="D56" s="52" t="n">
        <f aca="false">$L$41*(B56/$B$12)*(C56/$B$16)</f>
        <v>306169.0911936</v>
      </c>
      <c r="E56" s="8" t="n">
        <f aca="false">D56/D57-1</f>
        <v>-0.16407867494824</v>
      </c>
      <c r="F56" s="8" t="n">
        <f aca="false">(D56-M41)/M41</f>
        <v>-0.220447890022661</v>
      </c>
    </row>
    <row r="57" customFormat="false" ht="15" hidden="false" customHeight="true" outlineLevel="0" collapsed="false">
      <c r="A57" s="29" t="s">
        <v>510</v>
      </c>
      <c r="B57" s="53" t="n">
        <v>0.92</v>
      </c>
      <c r="C57" s="53" t="n">
        <v>1.05</v>
      </c>
      <c r="D57" s="54" t="n">
        <f aca="false">$L$41*(B57/$B$12)*(C57/$B$16)</f>
        <v>366265.43912448</v>
      </c>
      <c r="E57" s="55" t="n">
        <f aca="false">D57/D57-1</f>
        <v>0</v>
      </c>
      <c r="F57" s="55" t="n">
        <f aca="false">(D57-M41)/M41</f>
        <v>-0.0674336368568299</v>
      </c>
    </row>
    <row r="58" customFormat="false" ht="15" hidden="false" customHeight="true" outlineLevel="0" collapsed="false">
      <c r="A58" s="5" t="s">
        <v>511</v>
      </c>
      <c r="B58" s="48" t="n">
        <v>1</v>
      </c>
      <c r="C58" s="48" t="n">
        <v>1.15</v>
      </c>
      <c r="D58" s="52" t="n">
        <f aca="false">$L$41*(B58/$B$12)*(C58/$B$16)</f>
        <v>436030.284672</v>
      </c>
      <c r="E58" s="8" t="n">
        <f aca="false">D58/D57-1</f>
        <v>0.19047619047619</v>
      </c>
      <c r="F58" s="8" t="n">
        <f aca="false">(D58-M41)/M41</f>
        <v>0.110198051360917</v>
      </c>
    </row>
    <row r="59" customFormat="false" ht="15" hidden="false" customHeight="true" outlineLevel="0" collapsed="false">
      <c r="A59" s="5" t="s">
        <v>512</v>
      </c>
      <c r="B59" s="48" t="n">
        <v>1.1</v>
      </c>
      <c r="C59" s="48" t="n">
        <v>1.25</v>
      </c>
      <c r="D59" s="52" t="n">
        <f aca="false">$L$41*(B59/$B$12)*(C59/$B$16)</f>
        <v>521340.55776</v>
      </c>
      <c r="E59" s="8" t="n">
        <f aca="false">D59/D57-1</f>
        <v>0.423395445134576</v>
      </c>
      <c r="F59" s="8" t="n">
        <f aca="false">(D59-M41)/M41</f>
        <v>0.327410713583705</v>
      </c>
    </row>
    <row r="60" customFormat="false" ht="15" hidden="false" customHeight="true" outlineLevel="0" collapsed="false">
      <c r="A60" s="5" t="s">
        <v>513</v>
      </c>
      <c r="B60" s="48" t="n">
        <v>0.8</v>
      </c>
      <c r="C60" s="48" t="n">
        <v>0.9</v>
      </c>
      <c r="D60" s="52" t="n">
        <f aca="false">$L$41*(B60/$B$12)*(C60/$B$16)</f>
        <v>272992.8738816</v>
      </c>
      <c r="E60" s="8" t="n">
        <f aca="false">D60/D57-1</f>
        <v>-0.254658385093168</v>
      </c>
      <c r="F60" s="8" t="n">
        <f aca="false">(D60-M41)/M41</f>
        <v>-0.304919480887078</v>
      </c>
    </row>
  </sheetData>
  <mergeCells count="7">
    <mergeCell ref="A1:N1"/>
    <mergeCell ref="A2:N2"/>
    <mergeCell ref="A4:E4"/>
    <mergeCell ref="A22:N22"/>
    <mergeCell ref="A23:N23"/>
    <mergeCell ref="A44:H44"/>
    <mergeCell ref="A54:F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2026-02-09T08:35:04Z</dcterms:created>
  <dc:creator>openpyxl</dc:creator>
  <dc:description/>
  <dc:language>en-US</dc:language>
  <cp:lastModifiedBy/>
  <dcterms:modified xsi:type="dcterms:W3CDTF">2026-02-19T14:09:04Z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