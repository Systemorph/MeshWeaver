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um Register" sheetId="1" state="visible" r:id="rId1"/>
    <sheet xmlns:r="http://schemas.openxmlformats.org/officeDocument/2006/relationships" name="Claims Register" sheetId="2" state="visible" r:id="rId2"/>
    <sheet xmlns:r="http://schemas.openxmlformats.org/officeDocument/2006/relationships" name="Sums Assured Schedule" sheetId="3" state="visible" r:id="rId3"/>
    <sheet xmlns:r="http://schemas.openxmlformats.org/officeDocument/2006/relationships" name="Dev Triangle" sheetId="4" state="visible" r:id="rId4"/>
    <sheet xmlns:r="http://schemas.openxmlformats.org/officeDocument/2006/relationships" name="Risk Register" sheetId="5" state="visible" r:id="rId5"/>
    <sheet xmlns:r="http://schemas.openxmlformats.org/officeDocument/2006/relationships" name="Loss Experience" sheetId="6" state="visible" r:id="rId6"/>
    <sheet xmlns:r="http://schemas.openxmlformats.org/officeDocument/2006/relationships" name="Reserve Analysis" sheetId="7" state="visible" r:id="rId7"/>
    <sheet xmlns:r="http://schemas.openxmlformats.org/officeDocument/2006/relationships" name="P&amp;L Summary" sheetId="8" state="visible" r:id="rId8"/>
    <sheet xmlns:r="http://schemas.openxmlformats.org/officeDocument/2006/relationships" name="Premium Indic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/MM/DD"/>
    <numFmt numFmtId="166" formatCode="0.0%"/>
  </numFmts>
  <fonts count="10">
    <font>
      <name val="Calibri"/>
      <family val="2"/>
      <color theme="1"/>
      <sz val="11"/>
      <scheme val="minor"/>
    </font>
    <font>
      <name val="Times New Roman"/>
      <b val="1"/>
      <color rgb="004A1942"/>
      <sz val="14"/>
    </font>
    <font>
      <name val="Times New Roman"/>
      <i val="1"/>
      <sz val="9"/>
    </font>
    <font>
      <name val="Times New Roman"/>
      <b val="1"/>
      <color rgb="00FFFFFF"/>
      <sz val="10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FF0000"/>
      <sz val="9"/>
    </font>
    <font>
      <name val="Times New Roman"/>
      <b val="1"/>
      <color rgb="004A1942"/>
      <sz val="11"/>
    </font>
    <font>
      <name val="Times New Roman"/>
      <b val="1"/>
      <color rgb="004A1942"/>
      <sz val="12"/>
    </font>
    <font>
      <name val="Times New Roman"/>
      <color rgb="000000FF"/>
      <sz val="10"/>
    </font>
  </fonts>
  <fills count="9">
    <fill>
      <patternFill/>
    </fill>
    <fill>
      <patternFill patternType="gray125"/>
    </fill>
    <fill>
      <patternFill patternType="solid">
        <fgColor rgb="004A1942"/>
      </patternFill>
    </fill>
    <fill>
      <patternFill patternType="solid">
        <fgColor rgb="00FCD5B4"/>
      </patternFill>
    </fill>
    <fill>
      <patternFill patternType="solid">
        <fgColor rgb="00FFC7CE"/>
      </patternFill>
    </fill>
    <fill>
      <patternFill patternType="solid">
        <fgColor rgb="00E8D5ED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  <border>
      <left style="thin">
        <color rgb="00A0A0A0"/>
      </left>
      <right style="thin">
        <color rgb="00A0A0A0"/>
      </right>
      <top style="double"/>
      <bottom style="thin">
        <color rgb="00A0A0A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0" fontId="5" fillId="0" borderId="0" pivotButton="0" quotePrefix="0" xfId="0"/>
    <xf numFmtId="3" fontId="5" fillId="0" borderId="2" pivotButton="0" quotePrefix="0" xfId="0"/>
    <xf numFmtId="0" fontId="6" fillId="0" borderId="0" pivotButton="0" quotePrefix="0" xfId="0"/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7" fillId="0" borderId="0" pivotButton="0" quotePrefix="0" xfId="0"/>
    <xf numFmtId="0" fontId="0" fillId="0" borderId="1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1" fontId="5" fillId="0" borderId="1" pivotButton="0" quotePrefix="0" xfId="0"/>
    <xf numFmtId="3" fontId="4" fillId="5" borderId="1" applyAlignment="1" pivotButton="0" quotePrefix="0" xfId="0">
      <alignment horizontal="center"/>
    </xf>
    <xf numFmtId="0" fontId="4" fillId="0" borderId="1" applyAlignment="1" pivotButton="0" quotePrefix="0" xfId="0">
      <alignment wrapText="1"/>
    </xf>
    <xf numFmtId="0" fontId="4" fillId="7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166" fontId="5" fillId="0" borderId="2" pivotButton="0" quotePrefix="0" xfId="0"/>
    <xf numFmtId="0" fontId="8" fillId="0" borderId="0" pivotButton="0" quotePrefix="0" xfId="0"/>
    <xf numFmtId="3" fontId="9" fillId="8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center"/>
    </xf>
    <xf numFmtId="3" fontId="5" fillId="0" borderId="1" pivotButton="0" quotePrefix="0" xfId="0"/>
    <xf numFmtId="166" fontId="9" fillId="8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2" applyAlignment="1" pivotButton="0" quotePrefix="0" xfId="0">
      <alignment horizontal="center"/>
    </xf>
    <xf numFmtId="10" fontId="9" fillId="8" borderId="1" pivotButton="0" quotePrefix="0" xfId="0"/>
    <xf numFmtId="2" fontId="9" fillId="8" borderId="1" pivotButton="0" quotePrefix="0" xfId="0"/>
    <xf numFmtId="166" fontId="9" fillId="8" borderId="1" pivotButton="0" quotePrefix="0" xfId="0"/>
    <xf numFmtId="1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  <col width="30" customWidth="1" min="5" max="5"/>
    <col width="16" customWidth="1" min="6" max="6"/>
    <col width="16" customWidth="1" min="7" max="7"/>
    <col width="3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PREMIUM REGISTER — BU3 CONSUMER &amp; AGRI LINES — Q4 2025</t>
        </is>
      </c>
    </row>
    <row r="2">
      <c r="A2" s="2" t="inlineStr">
        <is>
          <t>Cedant: Zurich Insurance Group  |  Reinsurer: Hannover Re  |  Agreement: HR-CON-2025-NEST-QS  |  Reporting: Oct–Dec 2025</t>
        </is>
      </c>
    </row>
    <row r="4">
      <c r="A4" s="3" t="inlineStr">
        <is>
          <t>Entry No.</t>
        </is>
      </c>
      <c r="B4" s="3" t="inlineStr">
        <is>
          <t>Agreement Ref</t>
        </is>
      </c>
      <c r="C4" s="3" t="inlineStr">
        <is>
          <t>Assured Name</t>
        </is>
      </c>
      <c r="D4" s="3" t="inlineStr">
        <is>
          <t>LOB Code</t>
        </is>
      </c>
      <c r="E4" s="3" t="inlineStr">
        <is>
          <t>LOB Description</t>
        </is>
      </c>
      <c r="F4" s="3" t="inlineStr">
        <is>
          <t>Coverage Start</t>
        </is>
      </c>
      <c r="G4" s="3" t="inlineStr">
        <is>
          <t>Coverage End</t>
        </is>
      </c>
      <c r="H4" s="3" t="inlineStr">
        <is>
          <t>Primary Location</t>
        </is>
      </c>
      <c r="I4" s="3" t="inlineStr">
        <is>
          <t>Region</t>
        </is>
      </c>
      <c r="J4" s="3" t="inlineStr">
        <is>
          <t>Base Ccy</t>
        </is>
      </c>
      <c r="K4" s="3" t="inlineStr">
        <is>
          <t>Sum Assured (000s)</t>
        </is>
      </c>
      <c r="L4" s="3" t="inlineStr">
        <is>
          <t>Gross Prem (000s)</t>
        </is>
      </c>
      <c r="M4" s="3" t="inlineStr">
        <is>
          <t>Treaty Share</t>
        </is>
      </c>
      <c r="N4" s="3" t="inlineStr">
        <is>
          <t>Reinsurer Prem (000s)</t>
        </is>
      </c>
      <c r="O4" s="3" t="inlineStr">
        <is>
          <t>Intermediary</t>
        </is>
      </c>
      <c r="P4" s="3" t="inlineStr">
        <is>
          <t>Record Status</t>
        </is>
      </c>
    </row>
    <row r="5">
      <c r="A5" s="4" t="inlineStr">
        <is>
          <t>NE-001</t>
        </is>
      </c>
      <c r="B5" s="4" t="inlineStr">
        <is>
          <t>HR-NEST-550001</t>
        </is>
      </c>
      <c r="C5" s="4" t="inlineStr">
        <is>
          <t>Nestlé S.A.</t>
        </is>
      </c>
      <c r="D5" s="4" t="inlineStr">
        <is>
          <t>PR-FD</t>
        </is>
      </c>
      <c r="E5" s="4" t="inlineStr">
        <is>
          <t>Property — Food Production</t>
        </is>
      </c>
      <c r="F5" s="5" t="n">
        <v>45658</v>
      </c>
      <c r="G5" s="5" t="n">
        <v>46022</v>
      </c>
      <c r="H5" s="4" t="inlineStr">
        <is>
          <t>Vevey, VD, CH</t>
        </is>
      </c>
      <c r="I5" s="4" t="inlineStr">
        <is>
          <t>EMEA</t>
        </is>
      </c>
      <c r="J5" s="4" t="inlineStr">
        <is>
          <t>CHF</t>
        </is>
      </c>
      <c r="K5" s="6" t="n">
        <v>1200000</v>
      </c>
      <c r="L5" s="6" t="n">
        <v>3158</v>
      </c>
      <c r="M5" s="7" t="n">
        <v>0.3</v>
      </c>
      <c r="N5" s="6">
        <f>L5*M5</f>
        <v/>
      </c>
      <c r="O5" s="4" t="inlineStr">
        <is>
          <t>Aon</t>
        </is>
      </c>
      <c r="P5" s="4" t="inlineStr">
        <is>
          <t>LIVE</t>
        </is>
      </c>
    </row>
    <row r="6">
      <c r="A6" s="4" t="inlineStr">
        <is>
          <t>NE-002</t>
        </is>
      </c>
      <c r="B6" s="4" t="inlineStr">
        <is>
          <t>HR-NEST-550002</t>
        </is>
      </c>
      <c r="C6" s="4" t="inlineStr">
        <is>
          <t>Nestlé S.A.</t>
        </is>
      </c>
      <c r="D6" s="4" t="inlineStr">
        <is>
          <t>PR-FD</t>
        </is>
      </c>
      <c r="E6" s="4" t="inlineStr">
        <is>
          <t>Property — Food Production</t>
        </is>
      </c>
      <c r="F6" s="5" t="n">
        <v>45658</v>
      </c>
      <c r="G6" s="5" t="n">
        <v>46022</v>
      </c>
      <c r="H6" s="4" t="inlineStr">
        <is>
          <t>Konolfingen, BE, CH</t>
        </is>
      </c>
      <c r="I6" s="4" t="inlineStr">
        <is>
          <t>EMEA</t>
        </is>
      </c>
      <c r="J6" s="4" t="inlineStr">
        <is>
          <t>CHF</t>
        </is>
      </c>
      <c r="K6" s="6" t="n">
        <v>850000</v>
      </c>
      <c r="L6" s="6" t="n">
        <v>7356</v>
      </c>
      <c r="M6" s="7" t="n">
        <v>0.3</v>
      </c>
      <c r="N6" s="6">
        <f>L6*M6</f>
        <v/>
      </c>
      <c r="O6" s="4" t="inlineStr">
        <is>
          <t>Aon</t>
        </is>
      </c>
      <c r="P6" s="4" t="inlineStr">
        <is>
          <t>LIVE</t>
        </is>
      </c>
    </row>
    <row r="7">
      <c r="A7" s="4" t="inlineStr">
        <is>
          <t>NE-003</t>
        </is>
      </c>
      <c r="B7" s="4" t="inlineStr">
        <is>
          <t>HR-NEST-550003</t>
        </is>
      </c>
      <c r="C7" s="4" t="inlineStr">
        <is>
          <t>Nestlé S.A.</t>
        </is>
      </c>
      <c r="D7" s="4" t="inlineStr">
        <is>
          <t>PR-FD</t>
        </is>
      </c>
      <c r="E7" s="4" t="inlineStr">
        <is>
          <t>Property — Food Production</t>
        </is>
      </c>
      <c r="F7" s="5" t="n">
        <v>45748</v>
      </c>
      <c r="G7" s="5" t="n">
        <v>46112</v>
      </c>
      <c r="H7" s="4" t="inlineStr">
        <is>
          <t>York, North Yorkshire, GB</t>
        </is>
      </c>
      <c r="I7" s="4" t="inlineStr">
        <is>
          <t>EMEA</t>
        </is>
      </c>
      <c r="J7" s="4" t="inlineStr">
        <is>
          <t>GBP</t>
        </is>
      </c>
      <c r="K7" s="6" t="n">
        <v>680000</v>
      </c>
      <c r="L7" s="6" t="n">
        <v>2073</v>
      </c>
      <c r="M7" s="7" t="n">
        <v>0.35</v>
      </c>
      <c r="N7" s="6">
        <f>L7*M7</f>
        <v/>
      </c>
      <c r="O7" s="4" t="inlineStr">
        <is>
          <t>Willis</t>
        </is>
      </c>
      <c r="P7" s="4" t="inlineStr">
        <is>
          <t>LIVE</t>
        </is>
      </c>
    </row>
    <row r="8">
      <c r="A8" s="4" t="inlineStr">
        <is>
          <t>NE-004</t>
        </is>
      </c>
      <c r="B8" s="4" t="inlineStr">
        <is>
          <t>HR-NEST-550004</t>
        </is>
      </c>
      <c r="C8" s="4" t="inlineStr">
        <is>
          <t>Nestlé S.A.</t>
        </is>
      </c>
      <c r="D8" s="4" t="inlineStr">
        <is>
          <t>PR-WH</t>
        </is>
      </c>
      <c r="E8" s="4" t="inlineStr">
        <is>
          <t>Property — Warehousing</t>
        </is>
      </c>
      <c r="F8" s="5" t="n">
        <v>45658</v>
      </c>
      <c r="G8" s="5" t="n">
        <v>46022</v>
      </c>
      <c r="H8" s="4" t="inlineStr">
        <is>
          <t>Solon, OH, US</t>
        </is>
      </c>
      <c r="I8" s="4" t="inlineStr">
        <is>
          <t>AMER</t>
        </is>
      </c>
      <c r="J8" s="4" t="inlineStr">
        <is>
          <t>USD</t>
        </is>
      </c>
      <c r="K8" s="6" t="n">
        <v>520000</v>
      </c>
      <c r="L8" s="6" t="n">
        <v>3731</v>
      </c>
      <c r="M8" s="7" t="n">
        <v>0.3</v>
      </c>
      <c r="N8" s="6">
        <f>L8*M8</f>
        <v/>
      </c>
      <c r="O8" s="4" t="inlineStr">
        <is>
          <t>Marsh</t>
        </is>
      </c>
      <c r="P8" s="4" t="inlineStr">
        <is>
          <t>LIVE</t>
        </is>
      </c>
    </row>
    <row r="9">
      <c r="A9" s="4" t="inlineStr">
        <is>
          <t>NE-005</t>
        </is>
      </c>
      <c r="B9" s="4" t="inlineStr">
        <is>
          <t>HR-NEST-550005</t>
        </is>
      </c>
      <c r="C9" s="4" t="inlineStr">
        <is>
          <t>Nestlé S.A.</t>
        </is>
      </c>
      <c r="D9" s="4" t="inlineStr">
        <is>
          <t>PR-WH</t>
        </is>
      </c>
      <c r="E9" s="4" t="inlineStr">
        <is>
          <t>Property — Warehousing</t>
        </is>
      </c>
      <c r="F9" s="5" t="n">
        <v>45658</v>
      </c>
      <c r="G9" s="5" t="n">
        <v>46022</v>
      </c>
      <c r="H9" s="4" t="inlineStr">
        <is>
          <t>Araras, SP, BR</t>
        </is>
      </c>
      <c r="I9" s="4" t="inlineStr">
        <is>
          <t>LATAM</t>
        </is>
      </c>
      <c r="J9" s="4" t="inlineStr">
        <is>
          <t>USD</t>
        </is>
      </c>
      <c r="K9" s="6" t="n">
        <v>380000</v>
      </c>
      <c r="L9" s="6" t="n">
        <v>2997</v>
      </c>
      <c r="M9" s="7" t="n">
        <v>0.3</v>
      </c>
      <c r="N9" s="6">
        <f>L9*M9</f>
        <v/>
      </c>
      <c r="O9" s="4" t="inlineStr">
        <is>
          <t>Marsh</t>
        </is>
      </c>
      <c r="P9" s="4" t="inlineStr">
        <is>
          <t>LIVE</t>
        </is>
      </c>
    </row>
    <row r="10">
      <c r="A10" s="4" t="inlineStr">
        <is>
          <t>NE-006</t>
        </is>
      </c>
      <c r="B10" s="4" t="inlineStr">
        <is>
          <t>HR-NEST-550006</t>
        </is>
      </c>
      <c r="C10" s="4" t="inlineStr">
        <is>
          <t>Nestlé S.A.</t>
        </is>
      </c>
      <c r="D10" s="4" t="inlineStr">
        <is>
          <t>FL</t>
        </is>
      </c>
      <c r="E10" s="4" t="inlineStr">
        <is>
          <t>Flood — Named Peril</t>
        </is>
      </c>
      <c r="F10" s="5" t="n">
        <v>45658</v>
      </c>
      <c r="G10" s="5" t="n">
        <v>46022</v>
      </c>
      <c r="H10" s="4" t="inlineStr">
        <is>
          <t>Multiple — see SOV</t>
        </is>
      </c>
      <c r="I10" s="4" t="inlineStr">
        <is>
          <t>GLOBAL</t>
        </is>
      </c>
      <c r="J10" s="4" t="inlineStr">
        <is>
          <t>CHF</t>
        </is>
      </c>
      <c r="K10" s="6" t="n">
        <v>5200000</v>
      </c>
      <c r="L10" s="6" t="n">
        <v>37595</v>
      </c>
      <c r="M10" s="7" t="n">
        <v>0.45</v>
      </c>
      <c r="N10" s="6">
        <f>L10*M10</f>
        <v/>
      </c>
      <c r="O10" s="4" t="inlineStr">
        <is>
          <t>Aon</t>
        </is>
      </c>
      <c r="P10" s="4" t="inlineStr">
        <is>
          <t>LIVE</t>
        </is>
      </c>
    </row>
    <row r="11">
      <c r="A11" s="4" t="inlineStr">
        <is>
          <t>NE-007</t>
        </is>
      </c>
      <c r="B11" s="4" t="inlineStr">
        <is>
          <t>HR-NEST-550007</t>
        </is>
      </c>
      <c r="C11" s="4" t="inlineStr">
        <is>
          <t>Nestlé S.A.</t>
        </is>
      </c>
      <c r="D11" s="4" t="inlineStr">
        <is>
          <t>WS</t>
        </is>
      </c>
      <c r="E11" s="4" t="inlineStr">
        <is>
          <t>Windstorm — Named Peril</t>
        </is>
      </c>
      <c r="F11" s="5" t="n">
        <v>45658</v>
      </c>
      <c r="G11" s="5" t="n">
        <v>46022</v>
      </c>
      <c r="H11" s="4" t="inlineStr">
        <is>
          <t>US &amp; Caribbean sites</t>
        </is>
      </c>
      <c r="I11" s="4" t="inlineStr">
        <is>
          <t>AMER</t>
        </is>
      </c>
      <c r="J11" s="4" t="inlineStr">
        <is>
          <t>USD</t>
        </is>
      </c>
      <c r="K11" s="6" t="n">
        <v>3800000</v>
      </c>
      <c r="L11" s="6" t="n">
        <v>15631</v>
      </c>
      <c r="M11" s="7" t="n">
        <v>0.4</v>
      </c>
      <c r="N11" s="6">
        <f>L11*M11</f>
        <v/>
      </c>
      <c r="O11" s="4" t="inlineStr">
        <is>
          <t>Guy Carpenter</t>
        </is>
      </c>
      <c r="P11" s="4" t="inlineStr">
        <is>
          <t>LIVE</t>
        </is>
      </c>
    </row>
    <row r="12">
      <c r="A12" s="4" t="inlineStr">
        <is>
          <t>NE-008</t>
        </is>
      </c>
      <c r="B12" s="4" t="inlineStr">
        <is>
          <t>HR-NEST-550008</t>
        </is>
      </c>
      <c r="C12" s="4" t="inlineStr">
        <is>
          <t>Nestlé S.A.</t>
        </is>
      </c>
      <c r="D12" s="4" t="inlineStr">
        <is>
          <t>CONTAM</t>
        </is>
      </c>
      <c r="E12" s="4" t="inlineStr">
        <is>
          <t>Product Contamination</t>
        </is>
      </c>
      <c r="F12" s="5" t="n">
        <v>45658</v>
      </c>
      <c r="G12" s="5" t="n">
        <v>46022</v>
      </c>
      <c r="H12" s="4" t="inlineStr">
        <is>
          <t>Global</t>
        </is>
      </c>
      <c r="I12" s="4" t="inlineStr">
        <is>
          <t>GLOBAL</t>
        </is>
      </c>
      <c r="J12" s="4" t="inlineStr">
        <is>
          <t>CHF</t>
        </is>
      </c>
      <c r="K12" s="6" t="n">
        <v>2000000</v>
      </c>
      <c r="L12" s="6" t="n">
        <v>8922</v>
      </c>
      <c r="M12" s="7" t="n">
        <v>0.5</v>
      </c>
      <c r="N12" s="6">
        <f>L12*M12</f>
        <v/>
      </c>
      <c r="O12" s="4" t="inlineStr">
        <is>
          <t>Willis</t>
        </is>
      </c>
      <c r="P12" s="4" t="inlineStr">
        <is>
          <t>LIVE</t>
        </is>
      </c>
    </row>
    <row r="13">
      <c r="A13" s="4" t="inlineStr">
        <is>
          <t>NE-009</t>
        </is>
      </c>
      <c r="B13" s="4" t="inlineStr">
        <is>
          <t>HR-NEST-550009</t>
        </is>
      </c>
      <c r="C13" s="4" t="inlineStr">
        <is>
          <t>Nestlé S.A.</t>
        </is>
      </c>
      <c r="D13" s="4" t="inlineStr">
        <is>
          <t>RECALL</t>
        </is>
      </c>
      <c r="E13" s="4" t="inlineStr">
        <is>
          <t>Product Recall</t>
        </is>
      </c>
      <c r="F13" s="5" t="n">
        <v>45658</v>
      </c>
      <c r="G13" s="5" t="n">
        <v>46022</v>
      </c>
      <c r="H13" s="4" t="inlineStr">
        <is>
          <t>Global</t>
        </is>
      </c>
      <c r="I13" s="4" t="inlineStr">
        <is>
          <t>GLOBAL</t>
        </is>
      </c>
      <c r="J13" s="4" t="inlineStr">
        <is>
          <t>CHF</t>
        </is>
      </c>
      <c r="K13" s="6" t="n">
        <v>1500000</v>
      </c>
      <c r="L13" s="6" t="n">
        <v>10579</v>
      </c>
      <c r="M13" s="7" t="n">
        <v>0.5</v>
      </c>
      <c r="N13" s="6">
        <f>L13*M13</f>
        <v/>
      </c>
      <c r="O13" s="4" t="inlineStr">
        <is>
          <t>Willis</t>
        </is>
      </c>
      <c r="P13" s="4" t="inlineStr">
        <is>
          <t>LIVE</t>
        </is>
      </c>
    </row>
    <row r="14">
      <c r="A14" s="4" t="inlineStr">
        <is>
          <t>NE-010</t>
        </is>
      </c>
      <c r="B14" s="4" t="inlineStr">
        <is>
          <t>HR-NEST-550010</t>
        </is>
      </c>
      <c r="C14" s="4" t="inlineStr">
        <is>
          <t>Nestlé S.A.</t>
        </is>
      </c>
      <c r="D14" s="4" t="inlineStr">
        <is>
          <t>PL-FD</t>
        </is>
      </c>
      <c r="E14" s="4" t="inlineStr">
        <is>
          <t>Product Liability — Food Safety</t>
        </is>
      </c>
      <c r="F14" s="5" t="n">
        <v>45658</v>
      </c>
      <c r="G14" s="5" t="n">
        <v>46022</v>
      </c>
      <c r="H14" s="4" t="inlineStr">
        <is>
          <t>Global</t>
        </is>
      </c>
      <c r="I14" s="4" t="inlineStr">
        <is>
          <t>GLOBAL</t>
        </is>
      </c>
      <c r="J14" s="4" t="inlineStr">
        <is>
          <t>USD</t>
        </is>
      </c>
      <c r="K14" s="6" t="n">
        <v>3000000</v>
      </c>
      <c r="L14" s="6" t="n">
        <v>26278</v>
      </c>
      <c r="M14" s="7" t="n">
        <v>0.4</v>
      </c>
      <c r="N14" s="6">
        <f>L14*M14</f>
        <v/>
      </c>
      <c r="O14" s="4" t="inlineStr">
        <is>
          <t>Willis</t>
        </is>
      </c>
      <c r="P14" s="4" t="inlineStr">
        <is>
          <t>LIVE</t>
        </is>
      </c>
    </row>
    <row r="15">
      <c r="A15" s="4" t="inlineStr">
        <is>
          <t>NE-011</t>
        </is>
      </c>
      <c r="B15" s="4" t="inlineStr">
        <is>
          <t>HR-NEST-550011</t>
        </is>
      </c>
      <c r="C15" s="4" t="inlineStr">
        <is>
          <t>Nestlé S.A.</t>
        </is>
      </c>
      <c r="D15" s="4" t="inlineStr">
        <is>
          <t>BI-SC</t>
        </is>
      </c>
      <c r="E15" s="4" t="inlineStr">
        <is>
          <t>Business Interruption — Supply Chain</t>
        </is>
      </c>
      <c r="F15" s="5" t="n">
        <v>45658</v>
      </c>
      <c r="G15" s="5" t="n">
        <v>46022</v>
      </c>
      <c r="H15" s="4" t="inlineStr">
        <is>
          <t>Global</t>
        </is>
      </c>
      <c r="I15" s="4" t="inlineStr">
        <is>
          <t>GLOBAL</t>
        </is>
      </c>
      <c r="J15" s="4" t="inlineStr">
        <is>
          <t>CHF</t>
        </is>
      </c>
      <c r="K15" s="6" t="n">
        <v>4500000</v>
      </c>
      <c r="L15" s="6" t="n">
        <v>29872</v>
      </c>
      <c r="M15" s="7" t="n">
        <v>0.35</v>
      </c>
      <c r="N15" s="6">
        <f>L15*M15</f>
        <v/>
      </c>
      <c r="O15" s="4" t="inlineStr">
        <is>
          <t>Aon</t>
        </is>
      </c>
      <c r="P15" s="4" t="inlineStr">
        <is>
          <t>LIVE</t>
        </is>
      </c>
    </row>
    <row r="16">
      <c r="A16" s="4" t="inlineStr">
        <is>
          <t>NE-012</t>
        </is>
      </c>
      <c r="B16" s="4" t="inlineStr">
        <is>
          <t>HR-NEST-550012</t>
        </is>
      </c>
      <c r="C16" s="4" t="inlineStr">
        <is>
          <t>Nestlé S.A.</t>
        </is>
      </c>
      <c r="D16" s="4" t="inlineStr">
        <is>
          <t>BI-CBI</t>
        </is>
      </c>
      <c r="E16" s="4" t="inlineStr">
        <is>
          <t>Contingent BI — Tier 1 Suppliers</t>
        </is>
      </c>
      <c r="F16" s="5" t="n">
        <v>45658</v>
      </c>
      <c r="G16" s="5" t="n">
        <v>46022</v>
      </c>
      <c r="H16" s="4" t="inlineStr">
        <is>
          <t>Global — 150+ suppliers</t>
        </is>
      </c>
      <c r="I16" s="4" t="inlineStr">
        <is>
          <t>GLOBAL</t>
        </is>
      </c>
      <c r="J16" s="4" t="inlineStr">
        <is>
          <t>CHF</t>
        </is>
      </c>
      <c r="K16" s="6" t="n">
        <v>2200000</v>
      </c>
      <c r="L16" s="6" t="n">
        <v>12724</v>
      </c>
      <c r="M16" s="7" t="n">
        <v>0.35</v>
      </c>
      <c r="N16" s="6">
        <f>L16*M16</f>
        <v/>
      </c>
      <c r="O16" s="4" t="inlineStr">
        <is>
          <t>Aon</t>
        </is>
      </c>
      <c r="P16" s="4" t="inlineStr">
        <is>
          <t>LIVE</t>
        </is>
      </c>
    </row>
    <row r="17">
      <c r="A17" s="4" t="inlineStr">
        <is>
          <t>NE-013</t>
        </is>
      </c>
      <c r="B17" s="4" t="inlineStr">
        <is>
          <t>HR-NEST-550013</t>
        </is>
      </c>
      <c r="C17" s="4" t="inlineStr">
        <is>
          <t>Nestlé S.A.</t>
        </is>
      </c>
      <c r="D17" s="4" t="inlineStr">
        <is>
          <t>AGRI</t>
        </is>
      </c>
      <c r="E17" s="4" t="inlineStr">
        <is>
          <t>Agricultural Commodity Risk</t>
        </is>
      </c>
      <c r="F17" s="5" t="n">
        <v>45839</v>
      </c>
      <c r="G17" s="5" t="n">
        <v>46203</v>
      </c>
      <c r="H17" s="4" t="inlineStr">
        <is>
          <t>Cocoa — West Africa, Coffee — Brazil</t>
        </is>
      </c>
      <c r="I17" s="4" t="inlineStr">
        <is>
          <t>GLOBAL</t>
        </is>
      </c>
      <c r="J17" s="4" t="inlineStr">
        <is>
          <t>CHF</t>
        </is>
      </c>
      <c r="K17" s="6" t="n">
        <v>1800000</v>
      </c>
      <c r="L17" s="6" t="n">
        <v>8487</v>
      </c>
      <c r="M17" s="7" t="n">
        <v>0.25</v>
      </c>
      <c r="N17" s="6">
        <f>L17*M17</f>
        <v/>
      </c>
      <c r="O17" s="4" t="inlineStr">
        <is>
          <t>Guy Carpenter</t>
        </is>
      </c>
      <c r="P17" s="4" t="inlineStr">
        <is>
          <t>LIVE</t>
        </is>
      </c>
    </row>
    <row r="18">
      <c r="A18" s="4" t="inlineStr">
        <is>
          <t>NE-014</t>
        </is>
      </c>
      <c r="B18" s="4" t="inlineStr">
        <is>
          <t>HR-NEST-550014</t>
        </is>
      </c>
      <c r="C18" s="4" t="inlineStr">
        <is>
          <t>Nestlé S.A.</t>
        </is>
      </c>
      <c r="D18" s="4" t="inlineStr">
        <is>
          <t>WATER</t>
        </is>
      </c>
      <c r="E18" s="4" t="inlineStr">
        <is>
          <t>Water Scarcity / Drought</t>
        </is>
      </c>
      <c r="F18" s="5" t="n">
        <v>45658</v>
      </c>
      <c r="G18" s="5" t="n">
        <v>46022</v>
      </c>
      <c r="H18" s="4" t="inlineStr">
        <is>
          <t>Pakistan, India, California</t>
        </is>
      </c>
      <c r="I18" s="4" t="inlineStr">
        <is>
          <t>GLOBAL</t>
        </is>
      </c>
      <c r="J18" s="4" t="inlineStr">
        <is>
          <t>CHF</t>
        </is>
      </c>
      <c r="K18" s="6" t="n">
        <v>900000</v>
      </c>
      <c r="L18" s="6" t="n">
        <v>4356</v>
      </c>
      <c r="M18" s="7" t="n">
        <v>0.3</v>
      </c>
      <c r="N18" s="6">
        <f>L18*M18</f>
        <v/>
      </c>
      <c r="O18" s="4" t="inlineStr">
        <is>
          <t>Aon</t>
        </is>
      </c>
      <c r="P18" s="4" t="inlineStr">
        <is>
          <t>LIVE</t>
        </is>
      </c>
    </row>
    <row r="19">
      <c r="A19" s="4" t="inlineStr">
        <is>
          <t>NE-015</t>
        </is>
      </c>
      <c r="B19" s="4" t="inlineStr">
        <is>
          <t>HR-NEST-550015</t>
        </is>
      </c>
      <c r="C19" s="4" t="inlineStr">
        <is>
          <t>Nestlé S.A.</t>
        </is>
      </c>
      <c r="D19" s="4" t="inlineStr">
        <is>
          <t>ENVIRO</t>
        </is>
      </c>
      <c r="E19" s="4" t="inlineStr">
        <is>
          <t>Environmental Liability</t>
        </is>
      </c>
      <c r="F19" s="5" t="n">
        <v>45658</v>
      </c>
      <c r="G19" s="5" t="n">
        <v>46022</v>
      </c>
      <c r="H19" s="4" t="inlineStr">
        <is>
          <t>All Manufacturing</t>
        </is>
      </c>
      <c r="I19" s="4" t="inlineStr">
        <is>
          <t>GLOBAL</t>
        </is>
      </c>
      <c r="J19" s="4" t="inlineStr">
        <is>
          <t>CHF</t>
        </is>
      </c>
      <c r="K19" s="6" t="n">
        <v>600000</v>
      </c>
      <c r="L19" s="6" t="n">
        <v>4220</v>
      </c>
      <c r="M19" s="7" t="n">
        <v>0.25</v>
      </c>
      <c r="N19" s="6">
        <f>L19*M19</f>
        <v/>
      </c>
      <c r="O19" s="4" t="inlineStr">
        <is>
          <t>Marsh</t>
        </is>
      </c>
      <c r="P19" s="4" t="inlineStr">
        <is>
          <t>LIVE</t>
        </is>
      </c>
    </row>
    <row r="20">
      <c r="A20" s="4" t="inlineStr">
        <is>
          <t>NE-016</t>
        </is>
      </c>
      <c r="B20" s="4" t="inlineStr">
        <is>
          <t>HR-NEST-550016</t>
        </is>
      </c>
      <c r="C20" s="4" t="inlineStr">
        <is>
          <t>Nestlé S.A.</t>
        </is>
      </c>
      <c r="D20" s="4" t="inlineStr">
        <is>
          <t>D&amp;O</t>
        </is>
      </c>
      <c r="E20" s="4" t="inlineStr">
        <is>
          <t>Directors &amp; Officers</t>
        </is>
      </c>
      <c r="F20" s="5" t="n">
        <v>45658</v>
      </c>
      <c r="G20" s="5" t="n">
        <v>46022</v>
      </c>
      <c r="H20" s="4" t="inlineStr">
        <is>
          <t>Global</t>
        </is>
      </c>
      <c r="I20" s="4" t="inlineStr">
        <is>
          <t>GLOBAL</t>
        </is>
      </c>
      <c r="J20" s="4" t="inlineStr">
        <is>
          <t>CHF</t>
        </is>
      </c>
      <c r="K20" s="6" t="n">
        <v>800000</v>
      </c>
      <c r="L20" s="6" t="n">
        <v>4001</v>
      </c>
      <c r="M20" s="7" t="n">
        <v>0.4</v>
      </c>
      <c r="N20" s="6">
        <f>L20*M20</f>
        <v/>
      </c>
      <c r="O20" s="4" t="inlineStr">
        <is>
          <t>Willis</t>
        </is>
      </c>
      <c r="P20" s="4" t="inlineStr">
        <is>
          <t>LIVE</t>
        </is>
      </c>
    </row>
    <row r="21">
      <c r="A21" s="4" t="inlineStr">
        <is>
          <t>NE-017</t>
        </is>
      </c>
      <c r="B21" s="4" t="inlineStr">
        <is>
          <t>HR-NEST-550017</t>
        </is>
      </c>
      <c r="C21" s="4" t="inlineStr">
        <is>
          <t>Nestlé S.A.</t>
        </is>
      </c>
      <c r="D21" s="4" t="inlineStr">
        <is>
          <t>CARGO</t>
        </is>
      </c>
      <c r="E21" s="4" t="inlineStr">
        <is>
          <t>Marine Cargo — Transit</t>
        </is>
      </c>
      <c r="F21" s="5" t="n">
        <v>45658</v>
      </c>
      <c r="G21" s="5" t="n">
        <v>46022</v>
      </c>
      <c r="H21" s="4" t="inlineStr">
        <is>
          <t>Global Supply Chain</t>
        </is>
      </c>
      <c r="I21" s="4" t="inlineStr">
        <is>
          <t>GLOBAL</t>
        </is>
      </c>
      <c r="J21" s="4" t="inlineStr">
        <is>
          <t>USD</t>
        </is>
      </c>
      <c r="K21" s="6" t="n">
        <v>2800000</v>
      </c>
      <c r="L21" s="6" t="n">
        <v>16070</v>
      </c>
      <c r="M21" s="7" t="n">
        <v>0.3</v>
      </c>
      <c r="N21" s="6">
        <f>L21*M21</f>
        <v/>
      </c>
      <c r="O21" s="4" t="inlineStr">
        <is>
          <t>Marsh</t>
        </is>
      </c>
      <c r="P21" s="4" t="inlineStr">
        <is>
          <t>LIVE</t>
        </is>
      </c>
    </row>
    <row r="22">
      <c r="A22" s="4" t="inlineStr">
        <is>
          <t>NE-018</t>
        </is>
      </c>
      <c r="B22" s="4" t="inlineStr">
        <is>
          <t>HR-NEST-550018</t>
        </is>
      </c>
      <c r="C22" s="4" t="inlineStr">
        <is>
          <t>Nestlé S.A.</t>
        </is>
      </c>
      <c r="D22" s="4" t="inlineStr">
        <is>
          <t>STOCK</t>
        </is>
      </c>
      <c r="E22" s="4" t="inlineStr">
        <is>
          <t>Stock Throughput</t>
        </is>
      </c>
      <c r="F22" s="5" t="n">
        <v>45658</v>
      </c>
      <c r="G22" s="5" t="n">
        <v>46022</v>
      </c>
      <c r="H22" s="4" t="inlineStr">
        <is>
          <t>All Warehouses</t>
        </is>
      </c>
      <c r="I22" s="4" t="inlineStr">
        <is>
          <t>GLOBAL</t>
        </is>
      </c>
      <c r="J22" s="4" t="inlineStr">
        <is>
          <t>CHF</t>
        </is>
      </c>
      <c r="K22" s="6" t="n">
        <v>3500000</v>
      </c>
      <c r="L22" s="6" t="n">
        <v>22458</v>
      </c>
      <c r="M22" s="7" t="n">
        <v>0.3</v>
      </c>
      <c r="N22" s="6">
        <f>L22*M22</f>
        <v/>
      </c>
      <c r="O22" s="4" t="inlineStr">
        <is>
          <t>Marsh</t>
        </is>
      </c>
      <c r="P22" s="4" t="inlineStr">
        <is>
          <t>LIVE</t>
        </is>
      </c>
    </row>
    <row r="23">
      <c r="A23" s="8" t="inlineStr">
        <is>
          <t>TOTAL CEDED</t>
        </is>
      </c>
      <c r="K23" s="9">
        <f>SUM(K5:K22)</f>
        <v/>
      </c>
      <c r="L23" s="9">
        <f>SUM(L5:L22)</f>
        <v/>
      </c>
      <c r="N23" s="9">
        <f>SUM(N5:N22)</f>
        <v/>
      </c>
    </row>
    <row r="25">
      <c r="A25" s="10" t="inlineStr">
        <is>
          <t>⚠ NOTE: Mixed currencies (CHF/USD/GBP). Figures NOT converted. Refer to FX tab for conversions.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6" customWidth="1" min="4" max="4"/>
    <col width="16" customWidth="1" min="5" max="5"/>
    <col width="16" customWidth="1" min="6" max="6"/>
    <col width="16" customWidth="1" min="7" max="7"/>
    <col width="65" customWidth="1" min="8" max="8"/>
    <col width="2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CLAIMS REGISTER — BU3 CONSUMER &amp; AGRI LINES — Q4 2025</t>
        </is>
      </c>
    </row>
    <row r="2">
      <c r="A2" s="2" t="inlineStr">
        <is>
          <t>PER-CASE LISTING  |  Status: OP=Open CL=Closed RO=Re-opened DN=Denied LIT=In Litigation SUB=Subrogated  |  Agreement: HR-CON-2025-NEST-QS</t>
        </is>
      </c>
    </row>
    <row r="4">
      <c r="A4" s="3" t="inlineStr">
        <is>
          <t>Case No.</t>
        </is>
      </c>
      <c r="B4" s="3" t="inlineStr">
        <is>
          <t>Master Claim Ref</t>
        </is>
      </c>
      <c r="C4" s="3" t="inlineStr">
        <is>
          <t>Assured</t>
        </is>
      </c>
      <c r="D4" s="3" t="inlineStr">
        <is>
          <t>Claimant Name</t>
        </is>
      </c>
      <c r="E4" s="3" t="inlineStr">
        <is>
          <t>Agreement Ref</t>
        </is>
      </c>
      <c r="F4" s="3" t="inlineStr">
        <is>
          <t>LOB Code</t>
        </is>
      </c>
      <c r="G4" s="3" t="inlineStr">
        <is>
          <t>Peril</t>
        </is>
      </c>
      <c r="H4" s="3" t="inlineStr">
        <is>
          <t>Cause of Loss (Narrative)</t>
        </is>
      </c>
      <c r="I4" s="3" t="inlineStr">
        <is>
          <t>Loss Location</t>
        </is>
      </c>
      <c r="J4" s="3" t="inlineStr">
        <is>
          <t>Date of Loss</t>
        </is>
      </c>
      <c r="K4" s="3" t="inlineStr">
        <is>
          <t>Date Notified</t>
        </is>
      </c>
      <c r="L4" s="3" t="inlineStr">
        <is>
          <t>Date Closed</t>
        </is>
      </c>
      <c r="M4" s="3" t="inlineStr">
        <is>
          <t>Ccy</t>
        </is>
      </c>
      <c r="N4" s="3" t="inlineStr">
        <is>
          <t>Amounts Paid (000s)</t>
        </is>
      </c>
      <c r="O4" s="3" t="inlineStr">
        <is>
          <t>Legal &amp; Adj Costs (000s)</t>
        </is>
      </c>
      <c r="P4" s="3" t="inlineStr">
        <is>
          <t>Case Estimate O/S (000s)</t>
        </is>
      </c>
      <c r="Q4" s="3" t="inlineStr">
        <is>
          <t>Gross Ultimate (000s)</t>
        </is>
      </c>
      <c r="R4" s="3" t="inlineStr">
        <is>
          <t>Claim Status</t>
        </is>
      </c>
      <c r="S4" s="3" t="inlineStr">
        <is>
          <t>Handler</t>
        </is>
      </c>
    </row>
    <row r="5">
      <c r="A5" s="4" t="inlineStr">
        <is>
          <t>NE-CL-2025-0101</t>
        </is>
      </c>
      <c r="B5" s="4" t="inlineStr">
        <is>
          <t>FLOOD-PAK-2025</t>
        </is>
      </c>
      <c r="C5" s="4" t="inlineStr">
        <is>
          <t>Nestlé S.A.</t>
        </is>
      </c>
      <c r="D5" s="4" t="inlineStr">
        <is>
          <t>N/A — own damage</t>
        </is>
      </c>
      <c r="E5" s="4" t="inlineStr">
        <is>
          <t>HR-NEST-550006</t>
        </is>
      </c>
      <c r="F5" s="4" t="inlineStr">
        <is>
          <t>FL</t>
        </is>
      </c>
      <c r="G5" s="4" t="inlineStr">
        <is>
          <t>RIVERINE-FLOOD</t>
        </is>
      </c>
      <c r="H5" s="4" t="inlineStr">
        <is>
          <t>Monsoon flooding — Kabirwala dairy factory submerged to 1.2m — equipment damage &amp; stock loss</t>
        </is>
      </c>
      <c r="I5" s="4" t="inlineStr">
        <is>
          <t>Kabirwala, Punjab, PK</t>
        </is>
      </c>
      <c r="J5" s="5" t="n">
        <v>45912</v>
      </c>
      <c r="K5" s="5" t="n">
        <v>45913</v>
      </c>
      <c r="L5" s="5" t="n"/>
      <c r="M5" s="4" t="inlineStr">
        <is>
          <t>USD</t>
        </is>
      </c>
      <c r="N5" s="6" t="n">
        <v>8500</v>
      </c>
      <c r="O5" s="6" t="n">
        <v>620</v>
      </c>
      <c r="P5" s="6" t="n">
        <v>12000</v>
      </c>
      <c r="Q5" s="6">
        <f>N5+O5+P5</f>
        <v/>
      </c>
      <c r="R5" s="11" t="inlineStr">
        <is>
          <t>OP</t>
        </is>
      </c>
      <c r="S5" s="4" t="inlineStr">
        <is>
          <t>Sedgwick Asia</t>
        </is>
      </c>
    </row>
    <row r="6">
      <c r="A6" s="4" t="inlineStr">
        <is>
          <t>NE-CL-2025-0102</t>
        </is>
      </c>
      <c r="B6" s="4" t="inlineStr">
        <is>
          <t>FLOOD-PAK-2025</t>
        </is>
      </c>
      <c r="C6" s="4" t="inlineStr">
        <is>
          <t>Nestlé S.A.</t>
        </is>
      </c>
      <c r="D6" s="4" t="inlineStr">
        <is>
          <t>N/A — own damage</t>
        </is>
      </c>
      <c r="E6" s="4" t="inlineStr">
        <is>
          <t>HR-NEST-550006</t>
        </is>
      </c>
      <c r="F6" s="4" t="inlineStr">
        <is>
          <t>FL</t>
        </is>
      </c>
      <c r="G6" s="4" t="inlineStr">
        <is>
          <t>RIVERINE-FLOOD</t>
        </is>
      </c>
      <c r="H6" s="4" t="inlineStr">
        <is>
          <t>Monsoon flooding — Sheikhupura water treatment plant — pump &amp; motor replacement</t>
        </is>
      </c>
      <c r="I6" s="4" t="inlineStr">
        <is>
          <t>Sheikhupura, Punjab, PK</t>
        </is>
      </c>
      <c r="J6" s="5" t="n">
        <v>45912</v>
      </c>
      <c r="K6" s="5" t="n">
        <v>45914</v>
      </c>
      <c r="L6" s="5" t="n"/>
      <c r="M6" s="4" t="inlineStr">
        <is>
          <t>USD</t>
        </is>
      </c>
      <c r="N6" s="6" t="n">
        <v>3200</v>
      </c>
      <c r="O6" s="6" t="n">
        <v>280</v>
      </c>
      <c r="P6" s="6" t="n">
        <v>4800</v>
      </c>
      <c r="Q6" s="6">
        <f>N6+O6+P6</f>
        <v/>
      </c>
      <c r="R6" s="11" t="inlineStr">
        <is>
          <t>OP</t>
        </is>
      </c>
      <c r="S6" s="4" t="inlineStr">
        <is>
          <t>Sedgwick Asia</t>
        </is>
      </c>
    </row>
    <row r="7">
      <c r="A7" s="4" t="inlineStr">
        <is>
          <t>NE-CL-2025-0103</t>
        </is>
      </c>
      <c r="B7" s="4" t="inlineStr">
        <is>
          <t>FLOOD-PAK-2025</t>
        </is>
      </c>
      <c r="C7" s="4" t="inlineStr">
        <is>
          <t>Nestlé S.A.</t>
        </is>
      </c>
      <c r="D7" s="4" t="inlineStr">
        <is>
          <t>N/A — BI consequential</t>
        </is>
      </c>
      <c r="E7" s="4" t="inlineStr">
        <is>
          <t>HR-NEST-550011</t>
        </is>
      </c>
      <c r="F7" s="4" t="inlineStr">
        <is>
          <t>BI-SC</t>
        </is>
      </c>
      <c r="G7" s="4" t="inlineStr">
        <is>
          <t>FLOOD-BI</t>
        </is>
      </c>
      <c r="H7" s="4" t="inlineStr">
        <is>
          <t>Business interruption — Kabirwala dairy shutdown 6 weeks — lost production revenue</t>
        </is>
      </c>
      <c r="I7" s="4" t="inlineStr">
        <is>
          <t>Kabirwala, Punjab, PK</t>
        </is>
      </c>
      <c r="J7" s="5" t="n">
        <v>45912</v>
      </c>
      <c r="K7" s="5" t="n">
        <v>45920</v>
      </c>
      <c r="L7" s="5" t="n"/>
      <c r="M7" s="4" t="inlineStr">
        <is>
          <t>USD</t>
        </is>
      </c>
      <c r="N7" s="6" t="n">
        <v>14200</v>
      </c>
      <c r="O7" s="6" t="n">
        <v>850</v>
      </c>
      <c r="P7" s="6" t="n">
        <v>22000</v>
      </c>
      <c r="Q7" s="6">
        <f>N7+O7+P7</f>
        <v/>
      </c>
      <c r="R7" s="11" t="inlineStr">
        <is>
          <t>OP</t>
        </is>
      </c>
      <c r="S7" s="4" t="inlineStr">
        <is>
          <t>Cunningham Lindsey</t>
        </is>
      </c>
    </row>
    <row r="8">
      <c r="A8" s="4" t="inlineStr">
        <is>
          <t>NE-CL-2025-0201</t>
        </is>
      </c>
      <c r="B8" s="4" t="inlineStr">
        <is>
          <t>CONTAM-EU-2025-A</t>
        </is>
      </c>
      <c r="C8" s="4" t="inlineStr">
        <is>
          <t>Nestlé S.A.</t>
        </is>
      </c>
      <c r="D8" s="4" t="inlineStr">
        <is>
          <t>Schmidt, Hans (individual)</t>
        </is>
      </c>
      <c r="E8" s="4" t="inlineStr">
        <is>
          <t>HR-NEST-550008</t>
        </is>
      </c>
      <c r="F8" s="4" t="inlineStr">
        <is>
          <t>CONTAM</t>
        </is>
      </c>
      <c r="G8" s="4" t="inlineStr">
        <is>
          <t>FOREIGN-BODY</t>
        </is>
      </c>
      <c r="H8" s="4" t="inlineStr">
        <is>
          <t>Glass fragment found in KitKat bar — consumer injury claim (lacerated tongue)</t>
        </is>
      </c>
      <c r="I8" s="4" t="inlineStr">
        <is>
          <t>Hamburg, DE</t>
        </is>
      </c>
      <c r="J8" s="5" t="n">
        <v>45935</v>
      </c>
      <c r="K8" s="5" t="n">
        <v>45942</v>
      </c>
      <c r="L8" s="5" t="n"/>
      <c r="M8" s="4" t="inlineStr">
        <is>
          <t>EUR</t>
        </is>
      </c>
      <c r="N8" s="6" t="n">
        <v>45</v>
      </c>
      <c r="O8" s="6" t="n">
        <v>22</v>
      </c>
      <c r="P8" s="6" t="n">
        <v>120</v>
      </c>
      <c r="Q8" s="6">
        <f>N8+O8+P8</f>
        <v/>
      </c>
      <c r="R8" s="12" t="inlineStr">
        <is>
          <t>LIT</t>
        </is>
      </c>
      <c r="S8" s="4" t="inlineStr">
        <is>
          <t>Kennedys EU</t>
        </is>
      </c>
    </row>
    <row r="9">
      <c r="A9" s="4" t="inlineStr">
        <is>
          <t>NE-CL-2025-0202</t>
        </is>
      </c>
      <c r="B9" s="4" t="inlineStr">
        <is>
          <t>CONTAM-EU-2025-A</t>
        </is>
      </c>
      <c r="C9" s="4" t="inlineStr">
        <is>
          <t>Nestlé S.A.</t>
        </is>
      </c>
      <c r="D9" s="4" t="inlineStr">
        <is>
          <t>Müller, Anna (individual)</t>
        </is>
      </c>
      <c r="E9" s="4" t="inlineStr">
        <is>
          <t>HR-NEST-550008</t>
        </is>
      </c>
      <c r="F9" s="4" t="inlineStr">
        <is>
          <t>CONTAM</t>
        </is>
      </c>
      <c r="G9" s="4" t="inlineStr">
        <is>
          <t>FOREIGN-BODY</t>
        </is>
      </c>
      <c r="H9" s="4" t="inlineStr">
        <is>
          <t>Glass fragment in KitKat — same batch as 0201 — dental injury</t>
        </is>
      </c>
      <c r="I9" s="4" t="inlineStr">
        <is>
          <t>Berlin, DE</t>
        </is>
      </c>
      <c r="J9" s="5" t="n">
        <v>45938</v>
      </c>
      <c r="K9" s="5" t="n">
        <v>45945</v>
      </c>
      <c r="L9" s="5" t="n"/>
      <c r="M9" s="4" t="inlineStr">
        <is>
          <t>EUR</t>
        </is>
      </c>
      <c r="N9" s="6" t="n">
        <v>38</v>
      </c>
      <c r="O9" s="6" t="n">
        <v>18</v>
      </c>
      <c r="P9" s="6" t="n">
        <v>95</v>
      </c>
      <c r="Q9" s="6">
        <f>N9+O9+P9</f>
        <v/>
      </c>
      <c r="R9" s="12" t="inlineStr">
        <is>
          <t>LIT</t>
        </is>
      </c>
      <c r="S9" s="4" t="inlineStr">
        <is>
          <t>Kennedys EU</t>
        </is>
      </c>
    </row>
    <row r="10">
      <c r="A10" s="4" t="inlineStr">
        <is>
          <t>NE-CL-2025-0203</t>
        </is>
      </c>
      <c r="B10" s="4" t="inlineStr">
        <is>
          <t>CONTAM-EU-2025-A</t>
        </is>
      </c>
      <c r="C10" s="4" t="inlineStr">
        <is>
          <t>Nestlé S.A.</t>
        </is>
      </c>
      <c r="D10" s="4" t="inlineStr">
        <is>
          <t>Weber, Thomas (individual)</t>
        </is>
      </c>
      <c r="E10" s="4" t="inlineStr">
        <is>
          <t>HR-NEST-550008</t>
        </is>
      </c>
      <c r="F10" s="4" t="inlineStr">
        <is>
          <t>CONTAM</t>
        </is>
      </c>
      <c r="G10" s="4" t="inlineStr">
        <is>
          <t>FOREIGN-BODY</t>
        </is>
      </c>
      <c r="H10" s="4" t="inlineStr">
        <is>
          <t>Glass fragment in KitKat — same batch — minor oral injury</t>
        </is>
      </c>
      <c r="I10" s="4" t="inlineStr">
        <is>
          <t>Munich, DE</t>
        </is>
      </c>
      <c r="J10" s="5" t="n">
        <v>45941</v>
      </c>
      <c r="K10" s="5" t="n">
        <v>45950</v>
      </c>
      <c r="L10" s="5" t="n"/>
      <c r="M10" s="4" t="inlineStr">
        <is>
          <t>EUR</t>
        </is>
      </c>
      <c r="N10" s="6" t="n">
        <v>15</v>
      </c>
      <c r="O10" s="6" t="n">
        <v>8</v>
      </c>
      <c r="P10" s="6" t="n">
        <v>45</v>
      </c>
      <c r="Q10" s="6">
        <f>N10+O10+P10</f>
        <v/>
      </c>
      <c r="R10" s="11" t="inlineStr">
        <is>
          <t>OP</t>
        </is>
      </c>
      <c r="S10" s="4" t="inlineStr">
        <is>
          <t>Kennedys EU</t>
        </is>
      </c>
    </row>
    <row r="11">
      <c r="A11" s="4" t="inlineStr">
        <is>
          <t>NE-CL-2025-0301</t>
        </is>
      </c>
      <c r="B11" s="4" t="inlineStr">
        <is>
          <t>RECALL-KK-2025</t>
        </is>
      </c>
      <c r="C11" s="4" t="inlineStr">
        <is>
          <t>Nestlé S.A.</t>
        </is>
      </c>
      <c r="D11" s="4" t="inlineStr">
        <is>
          <t>N/A — first party recall cost</t>
        </is>
      </c>
      <c r="E11" s="4" t="inlineStr">
        <is>
          <t>HR-NEST-550009</t>
        </is>
      </c>
      <c r="F11" s="4" t="inlineStr">
        <is>
          <t>RECALL</t>
        </is>
      </c>
      <c r="G11" s="4" t="inlineStr">
        <is>
          <t>VOLUNTARY-RECALL</t>
        </is>
      </c>
      <c r="H11" s="4" t="inlineStr">
        <is>
          <t>Voluntary recall of KitKat batches KK-2025-DE-44xx — 2.8M units across DACH region</t>
        </is>
      </c>
      <c r="I11" s="4" t="inlineStr">
        <is>
          <t>DACH Region</t>
        </is>
      </c>
      <c r="J11" s="5" t="n">
        <v>45945</v>
      </c>
      <c r="K11" s="5" t="n">
        <v>45946</v>
      </c>
      <c r="L11" s="5" t="n"/>
      <c r="M11" s="4" t="inlineStr">
        <is>
          <t>CHF</t>
        </is>
      </c>
      <c r="N11" s="6" t="n">
        <v>18500</v>
      </c>
      <c r="O11" s="6" t="n">
        <v>4200</v>
      </c>
      <c r="P11" s="6" t="n">
        <v>8000</v>
      </c>
      <c r="Q11" s="6">
        <f>N11+O11+P11</f>
        <v/>
      </c>
      <c r="R11" s="11" t="inlineStr">
        <is>
          <t>OP</t>
        </is>
      </c>
      <c r="S11" s="4" t="inlineStr">
        <is>
          <t>Crisis24</t>
        </is>
      </c>
    </row>
    <row r="12">
      <c r="A12" s="4" t="inlineStr">
        <is>
          <t>NE-CL-2025-0401</t>
        </is>
      </c>
      <c r="B12" s="4" t="inlineStr">
        <is>
          <t>WS-US-2025-MARTA</t>
        </is>
      </c>
      <c r="C12" s="4" t="inlineStr">
        <is>
          <t>Nestlé S.A.</t>
        </is>
      </c>
      <c r="D12" s="4" t="inlineStr">
        <is>
          <t>N/A — own damage</t>
        </is>
      </c>
      <c r="E12" s="4" t="inlineStr">
        <is>
          <t>HR-NEST-550007</t>
        </is>
      </c>
      <c r="F12" s="4" t="inlineStr">
        <is>
          <t>WS</t>
        </is>
      </c>
      <c r="G12" s="4" t="inlineStr">
        <is>
          <t>HURRICANE</t>
        </is>
      </c>
      <c r="H12" s="4" t="inlineStr">
        <is>
          <t>Hurricane Marta — Glendale AZ Dreyers ice cream factory — roof &amp; cold storage damage</t>
        </is>
      </c>
      <c r="I12" s="4" t="inlineStr">
        <is>
          <t>Glendale, AZ, US</t>
        </is>
      </c>
      <c r="J12" s="5" t="n">
        <v>45976</v>
      </c>
      <c r="K12" s="5" t="n">
        <v>45977</v>
      </c>
      <c r="L12" s="5" t="n"/>
      <c r="M12" s="4" t="inlineStr">
        <is>
          <t>USD</t>
        </is>
      </c>
      <c r="N12" s="6" t="n">
        <v>5800</v>
      </c>
      <c r="O12" s="6" t="n">
        <v>420</v>
      </c>
      <c r="P12" s="6" t="n">
        <v>9200</v>
      </c>
      <c r="Q12" s="6">
        <f>N12+O12+P12</f>
        <v/>
      </c>
      <c r="R12" s="11" t="inlineStr">
        <is>
          <t>OP</t>
        </is>
      </c>
      <c r="S12" s="4" t="inlineStr">
        <is>
          <t>McLarens US</t>
        </is>
      </c>
    </row>
    <row r="13">
      <c r="A13" s="4" t="inlineStr">
        <is>
          <t>NE-CL-2025-0402</t>
        </is>
      </c>
      <c r="B13" s="4" t="inlineStr">
        <is>
          <t>WS-US-2025-MARTA</t>
        </is>
      </c>
      <c r="C13" s="4" t="inlineStr">
        <is>
          <t>Nestlé S.A.</t>
        </is>
      </c>
      <c r="D13" s="4" t="inlineStr">
        <is>
          <t>N/A — stock spoilage</t>
        </is>
      </c>
      <c r="E13" s="4" t="inlineStr">
        <is>
          <t>HR-NEST-550018</t>
        </is>
      </c>
      <c r="F13" s="4" t="inlineStr">
        <is>
          <t>STOCK</t>
        </is>
      </c>
      <c r="G13" s="4" t="inlineStr">
        <is>
          <t>TEMPERATURE-EXCURSION</t>
        </is>
      </c>
      <c r="H13" s="4" t="inlineStr">
        <is>
          <t>Ice cream stock spoilage due to power outage from Hurricane Marta — 48hr+ thaw</t>
        </is>
      </c>
      <c r="I13" s="4" t="inlineStr">
        <is>
          <t>Glendale, AZ, US</t>
        </is>
      </c>
      <c r="J13" s="5" t="n">
        <v>45976</v>
      </c>
      <c r="K13" s="5" t="n">
        <v>45979</v>
      </c>
      <c r="L13" s="5" t="n"/>
      <c r="M13" s="4" t="inlineStr">
        <is>
          <t>USD</t>
        </is>
      </c>
      <c r="N13" s="6" t="n">
        <v>12400</v>
      </c>
      <c r="O13" s="6" t="n">
        <v>180</v>
      </c>
      <c r="P13" s="6" t="n">
        <v>3500</v>
      </c>
      <c r="Q13" s="6">
        <f>N13+O13+P13</f>
        <v/>
      </c>
      <c r="R13" s="11" t="inlineStr">
        <is>
          <t>OP</t>
        </is>
      </c>
      <c r="S13" s="4" t="inlineStr">
        <is>
          <t>McLarens US</t>
        </is>
      </c>
    </row>
    <row r="14">
      <c r="A14" s="4" t="inlineStr">
        <is>
          <t>NE-CL-2025-0501</t>
        </is>
      </c>
      <c r="B14" s="4" t="inlineStr">
        <is>
          <t>CARGO-2025-038</t>
        </is>
      </c>
      <c r="C14" s="4" t="inlineStr">
        <is>
          <t>Nestlé S.A.</t>
        </is>
      </c>
      <c r="D14" s="4" t="inlineStr">
        <is>
          <t>Maersk Line (carrier recovery)</t>
        </is>
      </c>
      <c r="E14" s="4" t="inlineStr">
        <is>
          <t>HR-NEST-550017</t>
        </is>
      </c>
      <c r="F14" s="4" t="inlineStr">
        <is>
          <t>CARGO</t>
        </is>
      </c>
      <c r="G14" s="4" t="inlineStr">
        <is>
          <t>VESSEL-INCIDENT</t>
        </is>
      </c>
      <c r="H14" s="4" t="inlineStr">
        <is>
          <t>Container vessel listing — 12 containers of Nescafé lost overboard en route Shanghai to Rotterdam</t>
        </is>
      </c>
      <c r="I14" s="4" t="inlineStr">
        <is>
          <t>South China Sea</t>
        </is>
      </c>
      <c r="J14" s="5" t="n">
        <v>45989</v>
      </c>
      <c r="K14" s="5" t="n">
        <v>45993</v>
      </c>
      <c r="L14" s="5" t="n"/>
      <c r="M14" s="4" t="inlineStr">
        <is>
          <t>USD</t>
        </is>
      </c>
      <c r="N14" s="6" t="n">
        <v>2800</v>
      </c>
      <c r="O14" s="6" t="n">
        <v>350</v>
      </c>
      <c r="P14" s="6" t="n">
        <v>0</v>
      </c>
      <c r="Q14" s="6">
        <f>N14+O14+P14</f>
        <v/>
      </c>
      <c r="R14" s="13" t="inlineStr">
        <is>
          <t>SUB</t>
        </is>
      </c>
      <c r="S14" s="4" t="inlineStr">
        <is>
          <t>Braemar Adjusting</t>
        </is>
      </c>
    </row>
    <row r="15">
      <c r="A15" s="4" t="inlineStr">
        <is>
          <t>NE-CL-2025-0601</t>
        </is>
      </c>
      <c r="B15" s="4" t="inlineStr">
        <is>
          <t>AGRI-2025-COCOA</t>
        </is>
      </c>
      <c r="C15" s="4" t="inlineStr">
        <is>
          <t>Nestlé S.A.</t>
        </is>
      </c>
      <c r="D15" s="4" t="inlineStr">
        <is>
          <t>N/A — parametric trigger</t>
        </is>
      </c>
      <c r="E15" s="4" t="inlineStr">
        <is>
          <t>HR-NEST-550013</t>
        </is>
      </c>
      <c r="F15" s="4" t="inlineStr">
        <is>
          <t>AGRI</t>
        </is>
      </c>
      <c r="G15" s="4" t="inlineStr">
        <is>
          <t>CROP-FAILURE</t>
        </is>
      </c>
      <c r="H15" s="4" t="inlineStr">
        <is>
          <t>Cocoa yield shortfall — Côte d'Ivoire — El Niño drought impact — parametric index trigger</t>
        </is>
      </c>
      <c r="I15" s="4" t="inlineStr">
        <is>
          <t>Côte d'Ivoire, West Africa</t>
        </is>
      </c>
      <c r="J15" s="5" t="n">
        <v>45870</v>
      </c>
      <c r="K15" s="5" t="n">
        <v>45899</v>
      </c>
      <c r="L15" s="5" t="n"/>
      <c r="M15" s="4" t="inlineStr">
        <is>
          <t>CHF</t>
        </is>
      </c>
      <c r="N15" s="6" t="n">
        <v>22000</v>
      </c>
      <c r="O15" s="6" t="n">
        <v>1500</v>
      </c>
      <c r="P15" s="6" t="n">
        <v>8000</v>
      </c>
      <c r="Q15" s="6">
        <f>N15+O15+P15</f>
        <v/>
      </c>
      <c r="R15" s="11" t="inlineStr">
        <is>
          <t>OP</t>
        </is>
      </c>
      <c r="S15" s="4" t="inlineStr">
        <is>
          <t>Swiss Re Corporate Solutions</t>
        </is>
      </c>
    </row>
    <row r="16">
      <c r="A16" s="4" t="inlineStr">
        <is>
          <t>NE-CL-2025-0602</t>
        </is>
      </c>
      <c r="B16" s="4" t="inlineStr">
        <is>
          <t>WATER-2025-IND</t>
        </is>
      </c>
      <c r="C16" s="4" t="inlineStr">
        <is>
          <t>Nestlé S.A.</t>
        </is>
      </c>
      <c r="D16" s="4" t="inlineStr">
        <is>
          <t>N/A — own damage/BI</t>
        </is>
      </c>
      <c r="E16" s="4" t="inlineStr">
        <is>
          <t>HR-NEST-550014</t>
        </is>
      </c>
      <c r="F16" s="4" t="inlineStr">
        <is>
          <t>WATER</t>
        </is>
      </c>
      <c r="G16" s="4" t="inlineStr">
        <is>
          <t>DROUGHT</t>
        </is>
      </c>
      <c r="H16" s="4" t="inlineStr">
        <is>
          <t>Water scarcity — Moga dairy factory forced to reduce output 40% — groundwater table drop</t>
        </is>
      </c>
      <c r="I16" s="4" t="inlineStr">
        <is>
          <t>Moga, Punjab, IN</t>
        </is>
      </c>
      <c r="J16" s="5" t="n">
        <v>45809</v>
      </c>
      <c r="K16" s="5" t="n">
        <v>45853</v>
      </c>
      <c r="L16" s="5" t="n"/>
      <c r="M16" s="4" t="inlineStr">
        <is>
          <t>USD</t>
        </is>
      </c>
      <c r="N16" s="6" t="n">
        <v>4800</v>
      </c>
      <c r="O16" s="6" t="n">
        <v>320</v>
      </c>
      <c r="P16" s="6" t="n">
        <v>6500</v>
      </c>
      <c r="Q16" s="6">
        <f>N16+O16+P16</f>
        <v/>
      </c>
      <c r="R16" s="11" t="inlineStr">
        <is>
          <t>OP</t>
        </is>
      </c>
      <c r="S16" s="4" t="inlineStr">
        <is>
          <t>Cunningham Lindsey</t>
        </is>
      </c>
    </row>
    <row r="17">
      <c r="A17" s="4" t="inlineStr">
        <is>
          <t>NE-CL-2024-0088</t>
        </is>
      </c>
      <c r="B17" s="4" t="inlineStr">
        <is>
          <t>ENVIRO-2024-BR</t>
        </is>
      </c>
      <c r="C17" s="4" t="inlineStr">
        <is>
          <t>Nestlé S.A.</t>
        </is>
      </c>
      <c r="D17" s="4" t="inlineStr">
        <is>
          <t>IBAMA (Brazilian EPA)</t>
        </is>
      </c>
      <c r="E17" s="4" t="inlineStr">
        <is>
          <t>HR-NEST-550015</t>
        </is>
      </c>
      <c r="F17" s="4" t="inlineStr">
        <is>
          <t>ENVIRO</t>
        </is>
      </c>
      <c r="G17" s="4" t="inlineStr">
        <is>
          <t>WASTE-DISCHARGE</t>
        </is>
      </c>
      <c r="H17" s="4" t="inlineStr">
        <is>
          <t>Regulatory fine — wastewater discharge exceedance at Araras factory — settled</t>
        </is>
      </c>
      <c r="I17" s="4" t="inlineStr">
        <is>
          <t>Araras, SP, BR</t>
        </is>
      </c>
      <c r="J17" s="5" t="n">
        <v>45366</v>
      </c>
      <c r="K17" s="5" t="n">
        <v>45383</v>
      </c>
      <c r="L17" s="5" t="n">
        <v>45889</v>
      </c>
      <c r="M17" s="4" t="inlineStr">
        <is>
          <t>BRL</t>
        </is>
      </c>
      <c r="N17" s="6" t="n">
        <v>5200</v>
      </c>
      <c r="O17" s="6" t="n">
        <v>1800</v>
      </c>
      <c r="P17" s="6" t="n">
        <v>0</v>
      </c>
      <c r="Q17" s="6">
        <f>N17+O17+P17</f>
        <v/>
      </c>
      <c r="R17" s="14" t="inlineStr">
        <is>
          <t>CL</t>
        </is>
      </c>
      <c r="S17" s="4" t="inlineStr">
        <is>
          <t>Local counsel — Mattos Filho</t>
        </is>
      </c>
    </row>
    <row r="18">
      <c r="A18" s="4" t="inlineStr">
        <is>
          <t>NE-CL-2025-0701</t>
        </is>
      </c>
      <c r="B18" s="4" t="inlineStr">
        <is>
          <t>DO-2025-ESG</t>
        </is>
      </c>
      <c r="C18" s="4" t="inlineStr">
        <is>
          <t>Nestlé S.A.</t>
        </is>
      </c>
      <c r="D18" s="4" t="inlineStr">
        <is>
          <t>ClientEarth (NGO litigant)</t>
        </is>
      </c>
      <c r="E18" s="4" t="inlineStr">
        <is>
          <t>HR-NEST-550016</t>
        </is>
      </c>
      <c r="F18" s="4" t="inlineStr">
        <is>
          <t>D&amp;O</t>
        </is>
      </c>
      <c r="G18" s="4" t="inlineStr">
        <is>
          <t>SHAREHOLDER-DERIV</t>
        </is>
      </c>
      <c r="H18" s="4" t="inlineStr">
        <is>
          <t>Derivative action alleging board failure to address plastic packaging commitments — pending</t>
        </is>
      </c>
      <c r="I18" s="4" t="inlineStr">
        <is>
          <t>Vevey, VD, CH</t>
        </is>
      </c>
      <c r="J18" s="5" t="n">
        <v>45797</v>
      </c>
      <c r="K18" s="5" t="n">
        <v>45809</v>
      </c>
      <c r="L18" s="5" t="n"/>
      <c r="M18" s="4" t="inlineStr">
        <is>
          <t>CHF</t>
        </is>
      </c>
      <c r="N18" s="6" t="n">
        <v>0</v>
      </c>
      <c r="O18" s="6" t="n">
        <v>3800</v>
      </c>
      <c r="P18" s="6" t="n">
        <v>15000</v>
      </c>
      <c r="Q18" s="6">
        <f>N18+O18+P18</f>
        <v/>
      </c>
      <c r="R18" s="12" t="inlineStr">
        <is>
          <t>LIT</t>
        </is>
      </c>
      <c r="S18" s="4" t="inlineStr">
        <is>
          <t>Clyde &amp; Co</t>
        </is>
      </c>
    </row>
    <row r="19">
      <c r="A19" s="4" t="inlineStr">
        <is>
          <t>NE-CL-2025-0801</t>
        </is>
      </c>
      <c r="B19" s="4" t="inlineStr">
        <is>
          <t>PL-2025-MISC</t>
        </is>
      </c>
      <c r="C19" s="4" t="inlineStr">
        <is>
          <t>Nestlé S.A.</t>
        </is>
      </c>
      <c r="D19" s="4" t="inlineStr">
        <is>
          <t>Garcia, Maria (individual)</t>
        </is>
      </c>
      <c r="E19" s="4" t="inlineStr">
        <is>
          <t>HR-NEST-550010</t>
        </is>
      </c>
      <c r="F19" s="4" t="inlineStr">
        <is>
          <t>PL-FD</t>
        </is>
      </c>
      <c r="G19" s="4" t="inlineStr">
        <is>
          <t>ALLERGIC-REACTION</t>
        </is>
      </c>
      <c r="H19" s="4" t="inlineStr">
        <is>
          <t>Undeclared peanut allergen in Maggi noodles — anaphylaxis — ER visit + lost wages</t>
        </is>
      </c>
      <c r="I19" s="4" t="inlineStr">
        <is>
          <t>Los Angeles, CA, US</t>
        </is>
      </c>
      <c r="J19" s="5" t="n">
        <v>45952</v>
      </c>
      <c r="K19" s="5" t="n">
        <v>45966</v>
      </c>
      <c r="L19" s="5" t="n"/>
      <c r="M19" s="4" t="inlineStr">
        <is>
          <t>USD</t>
        </is>
      </c>
      <c r="N19" s="6" t="n">
        <v>85</v>
      </c>
      <c r="O19" s="6" t="n">
        <v>42</v>
      </c>
      <c r="P19" s="6" t="n">
        <v>280</v>
      </c>
      <c r="Q19" s="6">
        <f>N19+O19+P19</f>
        <v/>
      </c>
      <c r="R19" s="11" t="inlineStr">
        <is>
          <t>OP</t>
        </is>
      </c>
      <c r="S19" s="4" t="inlineStr">
        <is>
          <t>Gallagher Bassett US</t>
        </is>
      </c>
    </row>
    <row r="20">
      <c r="A20" s="4" t="inlineStr">
        <is>
          <t>NE-CL-2025-0802</t>
        </is>
      </c>
      <c r="B20" s="4" t="inlineStr">
        <is>
          <t>PL-2025-MISC</t>
        </is>
      </c>
      <c r="C20" s="4" t="inlineStr">
        <is>
          <t>Nestlé S.A.</t>
        </is>
      </c>
      <c r="D20" s="4" t="inlineStr">
        <is>
          <t>Thompson, James (individual)</t>
        </is>
      </c>
      <c r="E20" s="4" t="inlineStr">
        <is>
          <t>HR-NEST-550010</t>
        </is>
      </c>
      <c r="F20" s="4" t="inlineStr">
        <is>
          <t>PL-FD</t>
        </is>
      </c>
      <c r="G20" s="4" t="inlineStr">
        <is>
          <t>ALLERGIC-REACTION</t>
        </is>
      </c>
      <c r="H20" s="4" t="inlineStr">
        <is>
          <t>Same batch Maggi allergen — mild reaction — outpatient treatment</t>
        </is>
      </c>
      <c r="I20" s="4" t="inlineStr">
        <is>
          <t>Houston, TX, US</t>
        </is>
      </c>
      <c r="J20" s="5" t="n">
        <v>45955</v>
      </c>
      <c r="K20" s="5" t="n">
        <v>45971</v>
      </c>
      <c r="L20" s="5" t="n"/>
      <c r="M20" s="4" t="inlineStr">
        <is>
          <t>USD</t>
        </is>
      </c>
      <c r="N20" s="6" t="n">
        <v>12</v>
      </c>
      <c r="O20" s="6" t="n">
        <v>8</v>
      </c>
      <c r="P20" s="6" t="n">
        <v>35</v>
      </c>
      <c r="Q20" s="6">
        <f>N20+O20+P20</f>
        <v/>
      </c>
      <c r="R20" s="11" t="inlineStr">
        <is>
          <t>OP</t>
        </is>
      </c>
      <c r="S20" s="4" t="inlineStr">
        <is>
          <t>Gallagher Bassett US</t>
        </is>
      </c>
    </row>
    <row r="21">
      <c r="A21" s="8" t="inlineStr">
        <is>
          <t>TOTAL — ALL CASES</t>
        </is>
      </c>
      <c r="N21" s="9">
        <f>SUM(N5:N20)</f>
        <v/>
      </c>
      <c r="O21" s="9">
        <f>SUM(O5:O20)</f>
        <v/>
      </c>
      <c r="P21" s="9">
        <f>SUM(P5:P20)</f>
        <v/>
      </c>
      <c r="Q21" s="9">
        <f>SUM(Q5:Q20)</f>
        <v/>
      </c>
    </row>
    <row r="23">
      <c r="A23" s="10" t="inlineStr">
        <is>
          <t>⚠ MULTI-CURRENCY: Cases reported in original currency (CHF/USD/EUR/BRL). Do NOT sum across currencies without FX conversion.</t>
        </is>
      </c>
    </row>
    <row r="25">
      <c r="A25" s="15" t="inlineStr">
        <is>
          <t>CASE COUNT BY STATUS</t>
        </is>
      </c>
    </row>
    <row r="26">
      <c r="A26" s="3" t="inlineStr">
        <is>
          <t>Status Code</t>
        </is>
      </c>
      <c r="B26" s="3" t="inlineStr">
        <is>
          <t>Meaning</t>
        </is>
      </c>
      <c r="C26" s="3" t="inlineStr">
        <is>
          <t>Count</t>
        </is>
      </c>
    </row>
    <row r="27">
      <c r="A27" s="16" t="inlineStr">
        <is>
          <t>OP</t>
        </is>
      </c>
      <c r="B27" s="16" t="inlineStr">
        <is>
          <t>Open</t>
        </is>
      </c>
      <c r="C27" s="16" t="n">
        <v>10</v>
      </c>
    </row>
    <row r="28">
      <c r="A28" s="16" t="inlineStr">
        <is>
          <t>CL</t>
        </is>
      </c>
      <c r="B28" s="16" t="inlineStr">
        <is>
          <t>Closed</t>
        </is>
      </c>
      <c r="C28" s="16" t="n">
        <v>1</v>
      </c>
    </row>
    <row r="29">
      <c r="A29" s="16" t="inlineStr">
        <is>
          <t>LIT</t>
        </is>
      </c>
      <c r="B29" s="16" t="inlineStr">
        <is>
          <t>In Litigation</t>
        </is>
      </c>
      <c r="C29" s="16" t="n">
        <v>3</v>
      </c>
    </row>
    <row r="30">
      <c r="A30" s="16" t="inlineStr">
        <is>
          <t>SUB</t>
        </is>
      </c>
      <c r="B30" s="16" t="inlineStr">
        <is>
          <t>Subrogated</t>
        </is>
      </c>
      <c r="C30" s="16" t="n">
        <v>1</v>
      </c>
    </row>
    <row r="31">
      <c r="A31" s="16" t="inlineStr">
        <is>
          <t>RO</t>
        </is>
      </c>
      <c r="B31" s="16" t="inlineStr">
        <is>
          <t>Re-opened</t>
        </is>
      </c>
      <c r="C31" s="16" t="n">
        <v>0</v>
      </c>
    </row>
    <row r="32">
      <c r="A32" s="16" t="inlineStr">
        <is>
          <t>DN</t>
        </is>
      </c>
      <c r="B32" s="16" t="inlineStr">
        <is>
          <t>Denied</t>
        </is>
      </c>
      <c r="C32" s="16" t="n">
        <v>0</v>
      </c>
    </row>
  </sheetData>
  <mergeCells count="2"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8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SUMS ASSURED SCHEDULE — Nestlé S.A. — 2026 Renewal</t>
        </is>
      </c>
    </row>
    <row r="2">
      <c r="A2" s="2" t="inlineStr">
        <is>
          <t>Prepared for: Zurich / Hannover Re  |  Broker: Aon  |  Valuation: 31/12/2025  |  000s — original ccy  |  Flood zone &amp; cold chain indicators</t>
        </is>
      </c>
    </row>
    <row r="4">
      <c r="A4" s="3" t="inlineStr">
        <is>
          <t>Site No.</t>
        </is>
      </c>
      <c r="B4" s="3" t="inlineStr">
        <is>
          <t>Facility</t>
        </is>
      </c>
      <c r="C4" s="3" t="inlineStr">
        <is>
          <t>Address</t>
        </is>
      </c>
      <c r="D4" s="3" t="inlineStr">
        <is>
          <t>City</t>
        </is>
      </c>
      <c r="E4" s="3" t="inlineStr">
        <is>
          <t>Country</t>
        </is>
      </c>
      <c r="F4" s="3" t="inlineStr">
        <is>
          <t>Ccy</t>
        </is>
      </c>
      <c r="G4" s="3" t="inlineStr">
        <is>
          <t>Construction</t>
        </is>
      </c>
      <c r="H4" s="3" t="inlineStr">
        <is>
          <t>Year Built</t>
        </is>
      </c>
      <c r="I4" s="3" t="inlineStr">
        <is>
          <t>Use / Occupancy</t>
        </is>
      </c>
      <c r="J4" s="3" t="inlineStr">
        <is>
          <t>Cold Chain (Y/N)</t>
        </is>
      </c>
      <c r="K4" s="3" t="inlineStr">
        <is>
          <t>Bldg Value (000s)</t>
        </is>
      </c>
      <c r="L4" s="3" t="inlineStr">
        <is>
          <t>M&amp;E (000s)</t>
        </is>
      </c>
      <c r="M4" s="3" t="inlineStr">
        <is>
          <t>Stock (000s)</t>
        </is>
      </c>
      <c r="N4" s="3" t="inlineStr">
        <is>
          <t>BI 12m (000s)</t>
        </is>
      </c>
      <c r="O4" s="3" t="inlineStr">
        <is>
          <t>TIV (000s)</t>
        </is>
      </c>
      <c r="P4" s="3" t="inlineStr">
        <is>
          <t>Flood Zone</t>
        </is>
      </c>
      <c r="Q4" s="3" t="inlineStr">
        <is>
          <t>Wind Zone</t>
        </is>
      </c>
      <c r="R4" s="3" t="inlineStr">
        <is>
          <t>EQ Zone</t>
        </is>
      </c>
      <c r="S4" s="3" t="inlineStr">
        <is>
          <t>Sprinkler</t>
        </is>
      </c>
    </row>
    <row r="5">
      <c r="A5" s="4" t="n">
        <v>1</v>
      </c>
      <c r="B5" s="4" t="inlineStr">
        <is>
          <t>Nestlé HQ &amp; R&amp;D Centre</t>
        </is>
      </c>
      <c r="C5" s="4" t="inlineStr">
        <is>
          <t>Avenue Nestlé 55</t>
        </is>
      </c>
      <c r="D5" s="4" t="inlineStr">
        <is>
          <t>Vevey</t>
        </is>
      </c>
      <c r="E5" s="4" t="inlineStr">
        <is>
          <t>CH</t>
        </is>
      </c>
      <c r="F5" s="4" t="inlineStr">
        <is>
          <t>CHF</t>
        </is>
      </c>
      <c r="G5" s="4" t="inlineStr">
        <is>
          <t>Reinforced Concrete</t>
        </is>
      </c>
      <c r="H5" s="4" t="n">
        <v>1960</v>
      </c>
      <c r="I5" s="4" t="inlineStr">
        <is>
          <t>Office / R&amp;D</t>
        </is>
      </c>
      <c r="J5" s="4" t="inlineStr">
        <is>
          <t>N</t>
        </is>
      </c>
      <c r="K5" s="6" t="n">
        <v>380000</v>
      </c>
      <c r="L5" s="6" t="n">
        <v>95000</v>
      </c>
      <c r="M5" s="6" t="n">
        <v>0</v>
      </c>
      <c r="N5" s="6" t="n">
        <v>280000</v>
      </c>
      <c r="O5" s="6">
        <f>K5+L5+M5+N5</f>
        <v/>
      </c>
      <c r="P5" s="4" t="inlineStr">
        <is>
          <t>Low</t>
        </is>
      </c>
      <c r="Q5" s="4" t="inlineStr">
        <is>
          <t>Low</t>
        </is>
      </c>
      <c r="R5" s="4" t="inlineStr">
        <is>
          <t>Moderate</t>
        </is>
      </c>
      <c r="S5" s="4" t="inlineStr">
        <is>
          <t>Full</t>
        </is>
      </c>
    </row>
    <row r="6">
      <c r="A6" s="4" t="n">
        <v>2</v>
      </c>
      <c r="B6" s="4" t="inlineStr">
        <is>
          <t>Konolfingen Factory</t>
        </is>
      </c>
      <c r="C6" s="4" t="inlineStr">
        <is>
          <t>Bernstrasse 55</t>
        </is>
      </c>
      <c r="D6" s="4" t="inlineStr">
        <is>
          <t>Konolfingen</t>
        </is>
      </c>
      <c r="E6" s="4" t="inlineStr">
        <is>
          <t>CH</t>
        </is>
      </c>
      <c r="F6" s="4" t="inlineStr">
        <is>
          <t>CHF</t>
        </is>
      </c>
      <c r="G6" s="4" t="inlineStr">
        <is>
          <t>Steel/Concrete</t>
        </is>
      </c>
      <c r="H6" s="4" t="n">
        <v>1920</v>
      </c>
      <c r="I6" s="4" t="inlineStr">
        <is>
          <t>Dairy Processing</t>
        </is>
      </c>
      <c r="J6" s="4" t="inlineStr">
        <is>
          <t>Y</t>
        </is>
      </c>
      <c r="K6" s="6" t="n">
        <v>220000</v>
      </c>
      <c r="L6" s="6" t="n">
        <v>480000</v>
      </c>
      <c r="M6" s="6" t="n">
        <v>120000</v>
      </c>
      <c r="N6" s="6" t="n">
        <v>650000</v>
      </c>
      <c r="O6" s="6">
        <f>K6+L6+M6+N6</f>
        <v/>
      </c>
      <c r="P6" s="4" t="inlineStr">
        <is>
          <t>Low</t>
        </is>
      </c>
      <c r="Q6" s="4" t="inlineStr">
        <is>
          <t>Low</t>
        </is>
      </c>
      <c r="R6" s="4" t="inlineStr">
        <is>
          <t>Moderate</t>
        </is>
      </c>
      <c r="S6" s="4" t="inlineStr">
        <is>
          <t>Full</t>
        </is>
      </c>
    </row>
    <row r="7">
      <c r="A7" s="4" t="n">
        <v>3</v>
      </c>
      <c r="B7" s="4" t="inlineStr">
        <is>
          <t>York Confectionery Factory</t>
        </is>
      </c>
      <c r="C7" s="4" t="inlineStr">
        <is>
          <t>Haxby Rd</t>
        </is>
      </c>
      <c r="D7" s="4" t="inlineStr">
        <is>
          <t>York</t>
        </is>
      </c>
      <c r="E7" s="4" t="inlineStr">
        <is>
          <t>GB</t>
        </is>
      </c>
      <c r="F7" s="4" t="inlineStr">
        <is>
          <t>GBP</t>
        </is>
      </c>
      <c r="G7" s="4" t="inlineStr">
        <is>
          <t>Mixed — Brick/Steel</t>
        </is>
      </c>
      <c r="H7" s="4" t="n">
        <v>1890</v>
      </c>
      <c r="I7" s="4" t="inlineStr">
        <is>
          <t>Confectionery Mfg</t>
        </is>
      </c>
      <c r="J7" s="4" t="inlineStr">
        <is>
          <t>Y</t>
        </is>
      </c>
      <c r="K7" s="6" t="n">
        <v>180000</v>
      </c>
      <c r="L7" s="6" t="n">
        <v>320000</v>
      </c>
      <c r="M7" s="6" t="n">
        <v>95000</v>
      </c>
      <c r="N7" s="6" t="n">
        <v>520000</v>
      </c>
      <c r="O7" s="6">
        <f>K7+L7+M7+N7</f>
        <v/>
      </c>
      <c r="P7" s="11" t="inlineStr">
        <is>
          <t>Medium — Ouse</t>
        </is>
      </c>
      <c r="Q7" s="4" t="inlineStr">
        <is>
          <t>Low</t>
        </is>
      </c>
      <c r="R7" s="4" t="inlineStr">
        <is>
          <t>Low</t>
        </is>
      </c>
      <c r="S7" s="4" t="inlineStr">
        <is>
          <t>Partial</t>
        </is>
      </c>
    </row>
    <row r="8">
      <c r="A8" s="4" t="n">
        <v>4</v>
      </c>
      <c r="B8" s="4" t="inlineStr">
        <is>
          <t>Solon Distribution Centre</t>
        </is>
      </c>
      <c r="C8" s="4" t="inlineStr">
        <is>
          <t>30003 Bainbridge Rd</t>
        </is>
      </c>
      <c r="D8" s="4" t="inlineStr">
        <is>
          <t>Solon, OH</t>
        </is>
      </c>
      <c r="E8" s="4" t="inlineStr">
        <is>
          <t>US</t>
        </is>
      </c>
      <c r="F8" s="4" t="inlineStr">
        <is>
          <t>USD</t>
        </is>
      </c>
      <c r="G8" s="4" t="inlineStr">
        <is>
          <t>Steel Frame</t>
        </is>
      </c>
      <c r="H8" s="4" t="n">
        <v>2008</v>
      </c>
      <c r="I8" s="4" t="inlineStr">
        <is>
          <t>Frozen/Chilled Warehouse</t>
        </is>
      </c>
      <c r="J8" s="4" t="inlineStr">
        <is>
          <t>Y</t>
        </is>
      </c>
      <c r="K8" s="6" t="n">
        <v>120000</v>
      </c>
      <c r="L8" s="6" t="n">
        <v>85000</v>
      </c>
      <c r="M8" s="6" t="n">
        <v>380000</v>
      </c>
      <c r="N8" s="6" t="n">
        <v>420000</v>
      </c>
      <c r="O8" s="6">
        <f>K8+L8+M8+N8</f>
        <v/>
      </c>
      <c r="P8" s="4" t="inlineStr">
        <is>
          <t>Low</t>
        </is>
      </c>
      <c r="Q8" s="4" t="inlineStr">
        <is>
          <t>Low</t>
        </is>
      </c>
      <c r="R8" s="4" t="inlineStr">
        <is>
          <t>Low</t>
        </is>
      </c>
      <c r="S8" s="4" t="inlineStr">
        <is>
          <t>Full</t>
        </is>
      </c>
    </row>
    <row r="9">
      <c r="A9" s="4" t="n">
        <v>5</v>
      </c>
      <c r="B9" s="4" t="inlineStr">
        <is>
          <t>Araras Factory</t>
        </is>
      </c>
      <c r="C9" s="4" t="inlineStr">
        <is>
          <t>Rod. Anhanguera km 174</t>
        </is>
      </c>
      <c r="D9" s="4" t="inlineStr">
        <is>
          <t>Araras, SP</t>
        </is>
      </c>
      <c r="E9" s="4" t="inlineStr">
        <is>
          <t>BR</t>
        </is>
      </c>
      <c r="F9" s="4" t="inlineStr">
        <is>
          <t>USD</t>
        </is>
      </c>
      <c r="G9" s="4" t="inlineStr">
        <is>
          <t>Concrete</t>
        </is>
      </c>
      <c r="H9" s="4" t="n">
        <v>1972</v>
      </c>
      <c r="I9" s="4" t="inlineStr">
        <is>
          <t>Chocolate/Confectionery</t>
        </is>
      </c>
      <c r="J9" s="4" t="inlineStr">
        <is>
          <t>Y</t>
        </is>
      </c>
      <c r="K9" s="6" t="n">
        <v>140000</v>
      </c>
      <c r="L9" s="6" t="n">
        <v>250000</v>
      </c>
      <c r="M9" s="6" t="n">
        <v>110000</v>
      </c>
      <c r="N9" s="6" t="n">
        <v>480000</v>
      </c>
      <c r="O9" s="6">
        <f>K9+L9+M9+N9</f>
        <v/>
      </c>
      <c r="P9" s="11" t="inlineStr">
        <is>
          <t>Medium</t>
        </is>
      </c>
      <c r="Q9" s="4" t="inlineStr">
        <is>
          <t>Low</t>
        </is>
      </c>
      <c r="R9" s="4" t="inlineStr">
        <is>
          <t>Low</t>
        </is>
      </c>
      <c r="S9" s="4" t="inlineStr">
        <is>
          <t>Partial</t>
        </is>
      </c>
    </row>
    <row r="10">
      <c r="A10" s="4" t="n">
        <v>6</v>
      </c>
      <c r="B10" s="4" t="inlineStr">
        <is>
          <t>Glendale Ice Cream Factory</t>
        </is>
      </c>
      <c r="C10" s="4" t="inlineStr">
        <is>
          <t>3501 W Glendale Ave</t>
        </is>
      </c>
      <c r="D10" s="4" t="inlineStr">
        <is>
          <t>Glendale, AZ</t>
        </is>
      </c>
      <c r="E10" s="4" t="inlineStr">
        <is>
          <t>US</t>
        </is>
      </c>
      <c r="F10" s="4" t="inlineStr">
        <is>
          <t>USD</t>
        </is>
      </c>
      <c r="G10" s="4" t="inlineStr">
        <is>
          <t>Steel/Insulated Panel</t>
        </is>
      </c>
      <c r="H10" s="4" t="n">
        <v>1998</v>
      </c>
      <c r="I10" s="4" t="inlineStr">
        <is>
          <t>Ice Cream Mfg (Dreyers)</t>
        </is>
      </c>
      <c r="J10" s="4" t="inlineStr">
        <is>
          <t>Y</t>
        </is>
      </c>
      <c r="K10" s="6" t="n">
        <v>95000</v>
      </c>
      <c r="L10" s="6" t="n">
        <v>180000</v>
      </c>
      <c r="M10" s="6" t="n">
        <v>220000</v>
      </c>
      <c r="N10" s="6" t="n">
        <v>680000</v>
      </c>
      <c r="O10" s="6">
        <f>K10+L10+M10+N10</f>
        <v/>
      </c>
      <c r="P10" s="4" t="inlineStr">
        <is>
          <t>Low</t>
        </is>
      </c>
      <c r="Q10" s="4" t="inlineStr">
        <is>
          <t>Moderate</t>
        </is>
      </c>
      <c r="R10" s="4" t="inlineStr">
        <is>
          <t>Low</t>
        </is>
      </c>
      <c r="S10" s="4" t="inlineStr">
        <is>
          <t>Full</t>
        </is>
      </c>
    </row>
    <row r="11">
      <c r="A11" s="4" t="n">
        <v>7</v>
      </c>
      <c r="B11" s="4" t="inlineStr">
        <is>
          <t>Kabirwala Dairy</t>
        </is>
      </c>
      <c r="C11" s="4" t="inlineStr">
        <is>
          <t>Industrial Area</t>
        </is>
      </c>
      <c r="D11" s="4" t="inlineStr">
        <is>
          <t>Kabirwala, Punjab</t>
        </is>
      </c>
      <c r="E11" s="4" t="inlineStr">
        <is>
          <t>PK</t>
        </is>
      </c>
      <c r="F11" s="4" t="inlineStr">
        <is>
          <t>USD</t>
        </is>
      </c>
      <c r="G11" s="4" t="inlineStr">
        <is>
          <t>Concrete/Brick</t>
        </is>
      </c>
      <c r="H11" s="4" t="n">
        <v>2005</v>
      </c>
      <c r="I11" s="4" t="inlineStr">
        <is>
          <t>Dairy Processing (Milkpak)</t>
        </is>
      </c>
      <c r="J11" s="4" t="inlineStr">
        <is>
          <t>Y</t>
        </is>
      </c>
      <c r="K11" s="6" t="n">
        <v>65000</v>
      </c>
      <c r="L11" s="6" t="n">
        <v>120000</v>
      </c>
      <c r="M11" s="6" t="n">
        <v>45000</v>
      </c>
      <c r="N11" s="6" t="n">
        <v>350000</v>
      </c>
      <c r="O11" s="6">
        <f>K11+L11+M11+N11</f>
        <v/>
      </c>
      <c r="P11" s="12" t="inlineStr">
        <is>
          <t>High — Chenab</t>
        </is>
      </c>
      <c r="Q11" s="4" t="inlineStr">
        <is>
          <t>Low</t>
        </is>
      </c>
      <c r="R11" s="4" t="inlineStr">
        <is>
          <t>Moderate</t>
        </is>
      </c>
      <c r="S11" s="4" t="inlineStr">
        <is>
          <t>Partial</t>
        </is>
      </c>
    </row>
    <row r="12">
      <c r="A12" s="4" t="n">
        <v>8</v>
      </c>
      <c r="B12" s="4" t="inlineStr">
        <is>
          <t>Moga Dairy</t>
        </is>
      </c>
      <c r="C12" s="4" t="inlineStr">
        <is>
          <t>G.T. Road</t>
        </is>
      </c>
      <c r="D12" s="4" t="inlineStr">
        <is>
          <t>Moga, Punjab</t>
        </is>
      </c>
      <c r="E12" s="4" t="inlineStr">
        <is>
          <t>IN</t>
        </is>
      </c>
      <c r="F12" s="4" t="inlineStr">
        <is>
          <t>USD</t>
        </is>
      </c>
      <c r="G12" s="4" t="inlineStr">
        <is>
          <t>Concrete</t>
        </is>
      </c>
      <c r="H12" s="4" t="n">
        <v>1961</v>
      </c>
      <c r="I12" s="4" t="inlineStr">
        <is>
          <t>Dairy Processing</t>
        </is>
      </c>
      <c r="J12" s="4" t="inlineStr">
        <is>
          <t>Y</t>
        </is>
      </c>
      <c r="K12" s="6" t="n">
        <v>55000</v>
      </c>
      <c r="L12" s="6" t="n">
        <v>95000</v>
      </c>
      <c r="M12" s="6" t="n">
        <v>38000</v>
      </c>
      <c r="N12" s="6" t="n">
        <v>280000</v>
      </c>
      <c r="O12" s="6">
        <f>K12+L12+M12+N12</f>
        <v/>
      </c>
      <c r="P12" s="11" t="inlineStr">
        <is>
          <t>Medium</t>
        </is>
      </c>
      <c r="Q12" s="4" t="inlineStr">
        <is>
          <t>Low</t>
        </is>
      </c>
      <c r="R12" s="4" t="inlineStr">
        <is>
          <t>Moderate</t>
        </is>
      </c>
      <c r="S12" s="4" t="inlineStr">
        <is>
          <t>Partial</t>
        </is>
      </c>
    </row>
    <row r="13">
      <c r="A13" s="4" t="n">
        <v>9</v>
      </c>
      <c r="B13" s="4" t="inlineStr">
        <is>
          <t>Abidjan Cocoa Facility</t>
        </is>
      </c>
      <c r="C13" s="4" t="inlineStr">
        <is>
          <t>Zone Industrielle</t>
        </is>
      </c>
      <c r="D13" s="4" t="inlineStr">
        <is>
          <t>Abidjan</t>
        </is>
      </c>
      <c r="E13" s="4" t="inlineStr">
        <is>
          <t>CI</t>
        </is>
      </c>
      <c r="F13" s="4" t="inlineStr">
        <is>
          <t>USD</t>
        </is>
      </c>
      <c r="G13" s="4" t="inlineStr">
        <is>
          <t>Metal Clad/Concrete</t>
        </is>
      </c>
      <c r="H13" s="4" t="n">
        <v>2012</v>
      </c>
      <c r="I13" s="4" t="inlineStr">
        <is>
          <t>Cocoa Processing</t>
        </is>
      </c>
      <c r="J13" s="4" t="inlineStr">
        <is>
          <t>N</t>
        </is>
      </c>
      <c r="K13" s="6" t="n">
        <v>42000</v>
      </c>
      <c r="L13" s="6" t="n">
        <v>65000</v>
      </c>
      <c r="M13" s="6" t="n">
        <v>180000</v>
      </c>
      <c r="N13" s="6" t="n">
        <v>220000</v>
      </c>
      <c r="O13" s="6">
        <f>K13+L13+M13+N13</f>
        <v/>
      </c>
      <c r="P13" s="4" t="inlineStr">
        <is>
          <t>Low</t>
        </is>
      </c>
      <c r="Q13" s="4" t="inlineStr">
        <is>
          <t>Low</t>
        </is>
      </c>
      <c r="R13" s="4" t="inlineStr">
        <is>
          <t>Low</t>
        </is>
      </c>
      <c r="S13" s="4" t="inlineStr">
        <is>
          <t>None</t>
        </is>
      </c>
    </row>
    <row r="14">
      <c r="A14" s="4" t="n">
        <v>10</v>
      </c>
      <c r="B14" s="4" t="inlineStr">
        <is>
          <t>Nantong Factory</t>
        </is>
      </c>
      <c r="C14" s="4" t="inlineStr">
        <is>
          <t>Gangzha District</t>
        </is>
      </c>
      <c r="D14" s="4" t="inlineStr">
        <is>
          <t>Nantong</t>
        </is>
      </c>
      <c r="E14" s="4" t="inlineStr">
        <is>
          <t>CN</t>
        </is>
      </c>
      <c r="F14" s="4" t="inlineStr">
        <is>
          <t>USD</t>
        </is>
      </c>
      <c r="G14" s="4" t="inlineStr">
        <is>
          <t>Concrete</t>
        </is>
      </c>
      <c r="H14" s="4" t="n">
        <v>2015</v>
      </c>
      <c r="I14" s="4" t="inlineStr">
        <is>
          <t>Beverage / Coffee</t>
        </is>
      </c>
      <c r="J14" s="4" t="inlineStr">
        <is>
          <t>Y</t>
        </is>
      </c>
      <c r="K14" s="6" t="n">
        <v>110000</v>
      </c>
      <c r="L14" s="6" t="n">
        <v>195000</v>
      </c>
      <c r="M14" s="6" t="n">
        <v>85000</v>
      </c>
      <c r="N14" s="6" t="n">
        <v>520000</v>
      </c>
      <c r="O14" s="6">
        <f>K14+L14+M14+N14</f>
        <v/>
      </c>
      <c r="P14" s="11" t="inlineStr">
        <is>
          <t>Medium — Yangtze</t>
        </is>
      </c>
      <c r="Q14" s="4" t="inlineStr">
        <is>
          <t>Moderate</t>
        </is>
      </c>
      <c r="R14" s="4" t="inlineStr">
        <is>
          <t>Low</t>
        </is>
      </c>
      <c r="S14" s="4" t="inlineStr">
        <is>
          <t>Full</t>
        </is>
      </c>
    </row>
    <row r="15">
      <c r="A15" s="4" t="n">
        <v>11</v>
      </c>
      <c r="B15" s="4" t="inlineStr">
        <is>
          <t>Girona Pet Food Factory</t>
        </is>
      </c>
      <c r="C15" s="4" t="inlineStr">
        <is>
          <t>Polígon Industrial</t>
        </is>
      </c>
      <c r="D15" s="4" t="inlineStr">
        <is>
          <t>Girona</t>
        </is>
      </c>
      <c r="E15" s="4" t="inlineStr">
        <is>
          <t>ES</t>
        </is>
      </c>
      <c r="F15" s="4" t="inlineStr">
        <is>
          <t>EUR</t>
        </is>
      </c>
      <c r="G15" s="4" t="inlineStr">
        <is>
          <t>Steel Frame</t>
        </is>
      </c>
      <c r="H15" s="4" t="n">
        <v>2018</v>
      </c>
      <c r="I15" s="4" t="inlineStr">
        <is>
          <t>Pet Food Mfg (Purina)</t>
        </is>
      </c>
      <c r="J15" s="4" t="inlineStr">
        <is>
          <t>N</t>
        </is>
      </c>
      <c r="K15" s="6" t="n">
        <v>88000</v>
      </c>
      <c r="L15" s="6" t="n">
        <v>145000</v>
      </c>
      <c r="M15" s="6" t="n">
        <v>72000</v>
      </c>
      <c r="N15" s="6" t="n">
        <v>380000</v>
      </c>
      <c r="O15" s="6">
        <f>K15+L15+M15+N15</f>
        <v/>
      </c>
      <c r="P15" s="4" t="inlineStr">
        <is>
          <t>Low</t>
        </is>
      </c>
      <c r="Q15" s="4" t="inlineStr">
        <is>
          <t>Low</t>
        </is>
      </c>
      <c r="R15" s="4" t="inlineStr">
        <is>
          <t>Low</t>
        </is>
      </c>
      <c r="S15" s="4" t="inlineStr">
        <is>
          <t>Full</t>
        </is>
      </c>
    </row>
    <row r="16">
      <c r="A16" s="4" t="n">
        <v>12</v>
      </c>
      <c r="B16" s="4" t="inlineStr">
        <is>
          <t>Springville Water Plant</t>
        </is>
      </c>
      <c r="C16" s="4" t="inlineStr">
        <is>
          <t>Hwy 72</t>
        </is>
      </c>
      <c r="D16" s="4" t="inlineStr">
        <is>
          <t>Springville, ME</t>
        </is>
      </c>
      <c r="E16" s="4" t="inlineStr">
        <is>
          <t>US</t>
        </is>
      </c>
      <c r="F16" s="4" t="inlineStr">
        <is>
          <t>USD</t>
        </is>
      </c>
      <c r="G16" s="4" t="inlineStr">
        <is>
          <t>Concrete/Steel</t>
        </is>
      </c>
      <c r="H16" s="4" t="n">
        <v>2002</v>
      </c>
      <c r="I16" s="4" t="inlineStr">
        <is>
          <t>Bottled Water (Poland Spring)</t>
        </is>
      </c>
      <c r="J16" s="4" t="inlineStr">
        <is>
          <t>N</t>
        </is>
      </c>
      <c r="K16" s="6" t="n">
        <v>35000</v>
      </c>
      <c r="L16" s="6" t="n">
        <v>52000</v>
      </c>
      <c r="M16" s="6" t="n">
        <v>28000</v>
      </c>
      <c r="N16" s="6" t="n">
        <v>190000</v>
      </c>
      <c r="O16" s="6">
        <f>K16+L16+M16+N16</f>
        <v/>
      </c>
      <c r="P16" s="4" t="inlineStr">
        <is>
          <t>Low</t>
        </is>
      </c>
      <c r="Q16" s="4" t="inlineStr">
        <is>
          <t>Low</t>
        </is>
      </c>
      <c r="R16" s="4" t="inlineStr">
        <is>
          <t>Low</t>
        </is>
      </c>
      <c r="S16" s="4" t="inlineStr">
        <is>
          <t>Full</t>
        </is>
      </c>
    </row>
    <row r="17">
      <c r="A17" s="8" t="inlineStr">
        <is>
          <t>TOTAL</t>
        </is>
      </c>
      <c r="K17" s="9">
        <f>SUM(K5:K16)</f>
        <v/>
      </c>
      <c r="L17" s="9">
        <f>SUM(L5:L16)</f>
        <v/>
      </c>
      <c r="M17" s="9">
        <f>SUM(M5:M16)</f>
        <v/>
      </c>
      <c r="N17" s="9">
        <f>SUM(N5:N16)</f>
        <v/>
      </c>
      <c r="O17" s="9">
        <f>SUM(O5:O16)</f>
        <v/>
      </c>
    </row>
  </sheetData>
  <mergeCells count="2">
    <mergeCell ref="A2:S2"/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INCURRED LOSS DEVELOPMENT — Nestlé S.A. — Consumer &amp; Agri Lines</t>
        </is>
      </c>
    </row>
    <row r="2">
      <c r="A2" s="2" t="inlineStr">
        <is>
          <t>CHF equiv. (000s)  |  As at 31/12/2025  |  Includes all perils — flood, contam, recall, PL, WS, cargo</t>
        </is>
      </c>
    </row>
    <row r="4">
      <c r="A4" s="17" t="inlineStr">
        <is>
          <t>Origin Year</t>
        </is>
      </c>
      <c r="B4" s="18" t="inlineStr">
        <is>
          <t>Dev Yr 1</t>
        </is>
      </c>
      <c r="C4" s="18" t="inlineStr">
        <is>
          <t>Dev Yr 2</t>
        </is>
      </c>
      <c r="D4" s="18" t="inlineStr">
        <is>
          <t>Dev Yr 3</t>
        </is>
      </c>
      <c r="E4" s="18" t="inlineStr">
        <is>
          <t>Dev Yr 4</t>
        </is>
      </c>
      <c r="F4" s="18" t="inlineStr">
        <is>
          <t>Dev Yr 5</t>
        </is>
      </c>
      <c r="G4" s="18" t="inlineStr">
        <is>
          <t>Dev Yr 6</t>
        </is>
      </c>
      <c r="H4" s="18" t="inlineStr">
        <is>
          <t>Dev Yr 7</t>
        </is>
      </c>
      <c r="I4" s="18" t="inlineStr">
        <is>
          <t>Dev Yr 8</t>
        </is>
      </c>
      <c r="J4" s="18" t="inlineStr">
        <is>
          <t>Dev Yr 9</t>
        </is>
      </c>
      <c r="K4" s="18" t="inlineStr">
        <is>
          <t>Dev Yr 10</t>
        </is>
      </c>
    </row>
    <row r="5">
      <c r="A5" s="19" t="n">
        <v>2016</v>
      </c>
      <c r="B5" s="20" t="n">
        <v>15278</v>
      </c>
      <c r="C5" s="20" t="n">
        <v>19369</v>
      </c>
      <c r="D5" s="20" t="n">
        <v>23383</v>
      </c>
      <c r="E5" s="20" t="n">
        <v>27469</v>
      </c>
      <c r="F5" s="20" t="n">
        <v>28477</v>
      </c>
      <c r="G5" s="20" t="n">
        <v>30476</v>
      </c>
      <c r="H5" s="20" t="n">
        <v>27698</v>
      </c>
      <c r="I5" s="20" t="n">
        <v>28656</v>
      </c>
      <c r="J5" s="20" t="n">
        <v>29903</v>
      </c>
      <c r="K5" s="20" t="n">
        <v>31006</v>
      </c>
    </row>
    <row r="6">
      <c r="A6" s="19" t="n">
        <v>2017</v>
      </c>
      <c r="B6" s="20" t="n">
        <v>15795</v>
      </c>
      <c r="C6" s="20" t="n">
        <v>23613</v>
      </c>
      <c r="D6" s="20" t="n">
        <v>26394</v>
      </c>
      <c r="E6" s="20" t="n">
        <v>28570</v>
      </c>
      <c r="F6" s="20" t="n">
        <v>32450</v>
      </c>
      <c r="G6" s="20" t="n">
        <v>30249</v>
      </c>
      <c r="H6" s="20" t="n">
        <v>34479</v>
      </c>
      <c r="I6" s="20" t="n">
        <v>31883</v>
      </c>
      <c r="J6" s="20" t="n">
        <v>32250</v>
      </c>
      <c r="K6" s="6" t="n"/>
    </row>
    <row r="7">
      <c r="A7" s="19" t="n">
        <v>2018</v>
      </c>
      <c r="B7" s="20" t="n">
        <v>18401</v>
      </c>
      <c r="C7" s="20" t="n">
        <v>26377</v>
      </c>
      <c r="D7" s="20" t="n">
        <v>32594</v>
      </c>
      <c r="E7" s="20" t="n">
        <v>32841</v>
      </c>
      <c r="F7" s="20" t="n">
        <v>36369</v>
      </c>
      <c r="G7" s="20" t="n">
        <v>36936</v>
      </c>
      <c r="H7" s="20" t="n">
        <v>36774</v>
      </c>
      <c r="I7" s="20" t="n">
        <v>36138</v>
      </c>
      <c r="J7" s="6" t="n"/>
      <c r="K7" s="6" t="n"/>
    </row>
    <row r="8">
      <c r="A8" s="19" t="n">
        <v>2019</v>
      </c>
      <c r="B8" s="20" t="n">
        <v>18498</v>
      </c>
      <c r="C8" s="20" t="n">
        <v>24544</v>
      </c>
      <c r="D8" s="20" t="n">
        <v>29036</v>
      </c>
      <c r="E8" s="20" t="n">
        <v>32500</v>
      </c>
      <c r="F8" s="20" t="n">
        <v>31977</v>
      </c>
      <c r="G8" s="20" t="n">
        <v>36473</v>
      </c>
      <c r="H8" s="20" t="n">
        <v>37400</v>
      </c>
      <c r="I8" s="6" t="n"/>
      <c r="J8" s="6" t="n"/>
      <c r="K8" s="6" t="n"/>
    </row>
    <row r="9">
      <c r="A9" s="19" t="n">
        <v>2020</v>
      </c>
      <c r="B9" s="20" t="n">
        <v>21726</v>
      </c>
      <c r="C9" s="20" t="n">
        <v>32423</v>
      </c>
      <c r="D9" s="20" t="n">
        <v>37464</v>
      </c>
      <c r="E9" s="20" t="n">
        <v>38918</v>
      </c>
      <c r="F9" s="20" t="n">
        <v>40937</v>
      </c>
      <c r="G9" s="20" t="n">
        <v>41107</v>
      </c>
      <c r="H9" s="6" t="n"/>
      <c r="I9" s="6" t="n"/>
      <c r="J9" s="6" t="n"/>
      <c r="K9" s="6" t="n"/>
    </row>
    <row r="10">
      <c r="A10" s="19" t="n">
        <v>2021</v>
      </c>
      <c r="B10" s="20" t="n">
        <v>20747</v>
      </c>
      <c r="C10" s="20" t="n">
        <v>28781</v>
      </c>
      <c r="D10" s="20" t="n">
        <v>33957</v>
      </c>
      <c r="E10" s="20" t="n">
        <v>37283</v>
      </c>
      <c r="F10" s="20" t="n">
        <v>39748</v>
      </c>
      <c r="G10" s="6" t="n"/>
      <c r="H10" s="6" t="n"/>
      <c r="I10" s="6" t="n"/>
      <c r="J10" s="6" t="n"/>
      <c r="K10" s="6" t="n"/>
    </row>
    <row r="11">
      <c r="A11" s="19" t="n">
        <v>2022</v>
      </c>
      <c r="B11" s="20" t="n">
        <v>24634</v>
      </c>
      <c r="C11" s="20" t="n">
        <v>34496</v>
      </c>
      <c r="D11" s="20" t="n">
        <v>42468</v>
      </c>
      <c r="E11" s="20" t="n">
        <v>46101</v>
      </c>
      <c r="F11" s="6" t="n"/>
      <c r="G11" s="6" t="n"/>
      <c r="H11" s="6" t="n"/>
      <c r="I11" s="6" t="n"/>
      <c r="J11" s="6" t="n"/>
      <c r="K11" s="6" t="n"/>
    </row>
    <row r="12">
      <c r="A12" s="19" t="n">
        <v>2023</v>
      </c>
      <c r="B12" s="20" t="n">
        <v>23383</v>
      </c>
      <c r="C12" s="20" t="n">
        <v>32753</v>
      </c>
      <c r="D12" s="20" t="n">
        <v>42352</v>
      </c>
      <c r="E12" s="6" t="n"/>
      <c r="F12" s="6" t="n"/>
      <c r="G12" s="6" t="n"/>
      <c r="H12" s="6" t="n"/>
      <c r="I12" s="6" t="n"/>
      <c r="J12" s="6" t="n"/>
      <c r="K12" s="6" t="n"/>
    </row>
    <row r="13">
      <c r="A13" s="19" t="n">
        <v>2024</v>
      </c>
      <c r="B13" s="20" t="n">
        <v>29172</v>
      </c>
      <c r="C13" s="20" t="n">
        <v>39867</v>
      </c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19" t="n">
        <v>2025</v>
      </c>
      <c r="B14" s="20" t="n">
        <v>41149</v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16" customWidth="1" min="3" max="3"/>
    <col width="16" customWidth="1" min="4" max="4"/>
    <col width="16" customWidth="1" min="5" max="5"/>
    <col width="16" customWidth="1" min="6" max="6"/>
    <col width="55" customWidth="1" min="7" max="7"/>
    <col width="16" customWidth="1" min="8" max="8"/>
    <col width="16" customWidth="1" min="9" max="9"/>
    <col width="16" customWidth="1" min="10" max="10"/>
    <col width="16" customWidth="1" min="11" max="11"/>
    <col width="48" customWidth="1" min="12" max="12"/>
  </cols>
  <sheetData>
    <row r="1">
      <c r="A1" s="1" t="inlineStr">
        <is>
          <t>RISK REGISTER — Nestlé S.A. — BU3 Consumer &amp; Agri</t>
        </is>
      </c>
    </row>
    <row r="4">
      <c r="A4" s="3" t="inlineStr">
        <is>
          <t>Risk Ref</t>
        </is>
      </c>
      <c r="B4" s="3" t="inlineStr">
        <is>
          <t>Risk Title</t>
        </is>
      </c>
      <c r="C4" s="3" t="inlineStr">
        <is>
          <t>Peril Category</t>
        </is>
      </c>
      <c r="D4" s="3" t="inlineStr">
        <is>
          <t>P (1–5)</t>
        </is>
      </c>
      <c r="E4" s="3" t="inlineStr">
        <is>
          <t>I (1–5)</t>
        </is>
      </c>
      <c r="F4" s="3" t="inlineStr">
        <is>
          <t>Score</t>
        </is>
      </c>
      <c r="G4" s="3" t="inlineStr">
        <is>
          <t>Controls &amp; Mitigation</t>
        </is>
      </c>
      <c r="H4" s="3" t="inlineStr">
        <is>
          <t>Owner</t>
        </is>
      </c>
      <c r="I4" s="3" t="inlineStr">
        <is>
          <t>Status</t>
        </is>
      </c>
      <c r="J4" s="3" t="inlineStr">
        <is>
          <t>First Logged</t>
        </is>
      </c>
      <c r="K4" s="3" t="inlineStr">
        <is>
          <t>Review Due</t>
        </is>
      </c>
      <c r="L4" s="3" t="inlineStr">
        <is>
          <t>Notes</t>
        </is>
      </c>
    </row>
    <row r="5" ht="45" customHeight="1">
      <c r="A5" s="4" t="inlineStr">
        <is>
          <t>NR-001</t>
        </is>
      </c>
      <c r="B5" s="21" t="inlineStr">
        <is>
          <t>Major product contamination — global recall</t>
        </is>
      </c>
      <c r="C5" s="4" t="inlineStr">
        <is>
          <t>CONTAM / RECALL</t>
        </is>
      </c>
      <c r="D5" s="4" t="n">
        <v>3</v>
      </c>
      <c r="E5" s="4" t="n">
        <v>5</v>
      </c>
      <c r="F5" s="11">
        <f>D5*E5</f>
        <v/>
      </c>
      <c r="G5" s="21" t="inlineStr">
        <is>
          <t>HACCP at all sites. Rapid trace system. Contamination &amp; recall cover $200M.</t>
        </is>
      </c>
      <c r="H5" s="4" t="inlineStr">
        <is>
          <t>Chief Quality Officer</t>
        </is>
      </c>
      <c r="I5" s="4" t="inlineStr">
        <is>
          <t>ACTIVE</t>
        </is>
      </c>
      <c r="J5" s="5" t="n">
        <v>43831</v>
      </c>
      <c r="K5" s="5" t="n">
        <v>46112</v>
      </c>
      <c r="L5" s="21" t="inlineStr">
        <is>
          <t>KitKat glass incident 2025 demonstrates residual risk</t>
        </is>
      </c>
    </row>
    <row r="6" ht="45" customHeight="1">
      <c r="A6" s="4" t="inlineStr">
        <is>
          <t>NR-002</t>
        </is>
      </c>
      <c r="B6" s="21" t="inlineStr">
        <is>
          <t>Flood damage — South Asia manufacturing complex</t>
        </is>
      </c>
      <c r="C6" s="4" t="inlineStr">
        <is>
          <t>FL</t>
        </is>
      </c>
      <c r="D6" s="4" t="n">
        <v>4</v>
      </c>
      <c r="E6" s="4" t="n">
        <v>4</v>
      </c>
      <c r="F6" s="12">
        <f>D6*E6</f>
        <v/>
      </c>
      <c r="G6" s="21" t="inlineStr">
        <is>
          <t>Flood walls at Kabirwala. Elevated equipment. Named peril flood cover with Hannover Re.</t>
        </is>
      </c>
      <c r="H6" s="4" t="inlineStr">
        <is>
          <t>Regional Director SA</t>
        </is>
      </c>
      <c r="I6" s="4" t="inlineStr">
        <is>
          <t>ACTIVE</t>
        </is>
      </c>
      <c r="J6" s="5" t="n">
        <v>43678</v>
      </c>
      <c r="K6" s="5" t="n">
        <v>46112</v>
      </c>
      <c r="L6" s="21" t="inlineStr">
        <is>
          <t>Climate change increasing monsoon severity</t>
        </is>
      </c>
    </row>
    <row r="7" ht="45" customHeight="1">
      <c r="A7" s="4" t="inlineStr">
        <is>
          <t>NR-003</t>
        </is>
      </c>
      <c r="B7" s="21" t="inlineStr">
        <is>
          <t>Agricultural supply shock — cocoa / coffee</t>
        </is>
      </c>
      <c r="C7" s="4" t="inlineStr">
        <is>
          <t>AGRI</t>
        </is>
      </c>
      <c r="D7" s="4" t="n">
        <v>4</v>
      </c>
      <c r="E7" s="4" t="n">
        <v>4</v>
      </c>
      <c r="F7" s="12">
        <f>D7*E7</f>
        <v/>
      </c>
      <c r="G7" s="21" t="inlineStr">
        <is>
          <t>Parametric index insurance. Diversified sourcing. Strategic commodity reserves.</t>
        </is>
      </c>
      <c r="H7" s="4" t="inlineStr">
        <is>
          <t>VP Procurement</t>
        </is>
      </c>
      <c r="I7" s="4" t="inlineStr">
        <is>
          <t>ACTIVE</t>
        </is>
      </c>
      <c r="J7" s="5" t="n">
        <v>44621</v>
      </c>
      <c r="K7" s="5" t="n">
        <v>46112</v>
      </c>
      <c r="L7" s="21" t="inlineStr">
        <is>
          <t>El Niño cycle — next peak expected 2026</t>
        </is>
      </c>
    </row>
    <row r="8" ht="45" customHeight="1">
      <c r="A8" s="4" t="inlineStr">
        <is>
          <t>NR-004</t>
        </is>
      </c>
      <c r="B8" s="21" t="inlineStr">
        <is>
          <t>Windstorm / hurricane — US factory network</t>
        </is>
      </c>
      <c r="C8" s="4" t="inlineStr">
        <is>
          <t>WS</t>
        </is>
      </c>
      <c r="D8" s="4" t="n">
        <v>3</v>
      </c>
      <c r="E8" s="4" t="n">
        <v>4</v>
      </c>
      <c r="F8" s="11">
        <f>D8*E8</f>
        <v/>
      </c>
      <c r="G8" s="21" t="inlineStr">
        <is>
          <t>Wind-rated roofs. Emergency power. Named storm deductible $5M.</t>
        </is>
      </c>
      <c r="H8" s="4" t="inlineStr">
        <is>
          <t>VP Operations US</t>
        </is>
      </c>
      <c r="I8" s="4" t="inlineStr">
        <is>
          <t>ACTIVE</t>
        </is>
      </c>
      <c r="J8" s="5" t="n">
        <v>44348</v>
      </c>
      <c r="K8" s="5" t="n">
        <v>46203</v>
      </c>
      <c r="L8" s="21" t="inlineStr">
        <is>
          <t>Glendale AZ &amp; Gulf Coast exposure</t>
        </is>
      </c>
    </row>
    <row r="9" ht="45" customHeight="1">
      <c r="A9" s="4" t="inlineStr">
        <is>
          <t>NR-005</t>
        </is>
      </c>
      <c r="B9" s="21" t="inlineStr">
        <is>
          <t>Water scarcity — dairy operations India/Pakistan</t>
        </is>
      </c>
      <c r="C9" s="4" t="inlineStr">
        <is>
          <t>WATER</t>
        </is>
      </c>
      <c r="D9" s="4" t="n">
        <v>4</v>
      </c>
      <c r="E9" s="4" t="n">
        <v>3</v>
      </c>
      <c r="F9" s="11">
        <f>D9*E9</f>
        <v/>
      </c>
      <c r="G9" s="21" t="inlineStr">
        <is>
          <t>Water recycling. Drought parametric cover. Alternative sourcing plans.</t>
        </is>
      </c>
      <c r="H9" s="4" t="inlineStr">
        <is>
          <t>VP Dairy Operations</t>
        </is>
      </c>
      <c r="I9" s="4" t="inlineStr">
        <is>
          <t>ACTIVE</t>
        </is>
      </c>
      <c r="J9" s="5" t="n">
        <v>44927</v>
      </c>
      <c r="K9" s="5" t="n">
        <v>46112</v>
      </c>
      <c r="L9" s="21" t="inlineStr">
        <is>
          <t>Groundwater depletion accelerating</t>
        </is>
      </c>
    </row>
    <row r="10" ht="45" customHeight="1">
      <c r="A10" s="4" t="inlineStr">
        <is>
          <t>NR-006</t>
        </is>
      </c>
      <c r="B10" s="21" t="inlineStr">
        <is>
          <t>Product liability — mass allergen incident</t>
        </is>
      </c>
      <c r="C10" s="4" t="inlineStr">
        <is>
          <t>PL-FD</t>
        </is>
      </c>
      <c r="D10" s="4" t="n">
        <v>3</v>
      </c>
      <c r="E10" s="4" t="n">
        <v>4</v>
      </c>
      <c r="F10" s="11">
        <f>D10*E10</f>
        <v/>
      </c>
      <c r="G10" s="21" t="inlineStr">
        <is>
          <t>$300M PL tower. Allergen testing at production line. Labelling compliance audits.</t>
        </is>
      </c>
      <c r="H10" s="4" t="inlineStr">
        <is>
          <t>General Counsel</t>
        </is>
      </c>
      <c r="I10" s="4" t="inlineStr">
        <is>
          <t>ACTIVE</t>
        </is>
      </c>
      <c r="J10" s="5" t="n">
        <v>44440</v>
      </c>
      <c r="K10" s="5" t="n">
        <v>46112</v>
      </c>
      <c r="L10" s="21" t="inlineStr">
        <is>
          <t>US plaintiff bar actively targeting food companies</t>
        </is>
      </c>
    </row>
    <row r="11" ht="45" customHeight="1">
      <c r="A11" s="4" t="inlineStr">
        <is>
          <t>NR-007</t>
        </is>
      </c>
      <c r="B11" s="21" t="inlineStr">
        <is>
          <t>ESG / greenwashing litigation — board liability</t>
        </is>
      </c>
      <c r="C11" s="4" t="inlineStr">
        <is>
          <t>D&amp;O</t>
        </is>
      </c>
      <c r="D11" s="4" t="n">
        <v>3</v>
      </c>
      <c r="E11" s="4" t="n">
        <v>3</v>
      </c>
      <c r="F11" s="22">
        <f>D11*E11</f>
        <v/>
      </c>
      <c r="G11" s="21" t="inlineStr">
        <is>
          <t>D&amp;O cover CHF 200M. Sustainability audit by PwC. Transparent reporting.</t>
        </is>
      </c>
      <c r="H11" s="4" t="inlineStr">
        <is>
          <t>Chief Sustainability Officer</t>
        </is>
      </c>
      <c r="I11" s="4" t="inlineStr">
        <is>
          <t>ACTIVE</t>
        </is>
      </c>
      <c r="J11" s="5" t="n">
        <v>45444</v>
      </c>
      <c r="K11" s="5" t="n">
        <v>46203</v>
      </c>
      <c r="L11" s="21" t="inlineStr">
        <is>
          <t>ClientEarth action filed May 2025</t>
        </is>
      </c>
    </row>
    <row r="12" ht="45" customHeight="1">
      <c r="A12" s="4" t="inlineStr">
        <is>
          <t>NR-008</t>
        </is>
      </c>
      <c r="B12" s="21" t="inlineStr">
        <is>
          <t>Cargo loss — piracy / vessel incidents</t>
        </is>
      </c>
      <c r="C12" s="4" t="inlineStr">
        <is>
          <t>CARGO</t>
        </is>
      </c>
      <c r="D12" s="4" t="n">
        <v>2</v>
      </c>
      <c r="E12" s="4" t="n">
        <v>3</v>
      </c>
      <c r="F12" s="22">
        <f>D12*E12</f>
        <v/>
      </c>
      <c r="G12" s="21" t="inlineStr">
        <is>
          <t>Marine cargo cover with subrogation. Route diversification. GPS tracking.</t>
        </is>
      </c>
      <c r="H12" s="4" t="inlineStr">
        <is>
          <t>VP Logistics</t>
        </is>
      </c>
      <c r="I12" s="4" t="inlineStr">
        <is>
          <t>ACTIVE</t>
        </is>
      </c>
      <c r="J12" s="5" t="n">
        <v>45231</v>
      </c>
      <c r="K12" s="5" t="n">
        <v>46203</v>
      </c>
      <c r="L12" s="21" t="inlineStr">
        <is>
          <t>Red Sea / Houthi disruption ongoing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LOSS EXPERIENCE — Nestlé S.A. — BU3</t>
        </is>
      </c>
    </row>
    <row r="2">
      <c r="A2" s="2" t="inlineStr">
        <is>
          <t>By LOB Code  |  UW Years 2020–2025  |  CHF equiv. (000s)</t>
        </is>
      </c>
    </row>
    <row r="4">
      <c r="A4" s="3" t="inlineStr">
        <is>
          <t>LOB Code</t>
        </is>
      </c>
      <c r="B4" s="3" t="inlineStr">
        <is>
          <t>UW Year</t>
        </is>
      </c>
      <c r="C4" s="3" t="inlineStr">
        <is>
          <t>Earned Prem (000s)</t>
        </is>
      </c>
      <c r="D4" s="3" t="inlineStr">
        <is>
          <t>Incurred Claims (000s)</t>
        </is>
      </c>
      <c r="E4" s="3" t="inlineStr">
        <is>
          <t>Loss Ratio</t>
        </is>
      </c>
      <c r="F4" s="3" t="inlineStr">
        <is>
          <t>Expense Load</t>
        </is>
      </c>
      <c r="G4" s="3" t="inlineStr">
        <is>
          <t>Combined</t>
        </is>
      </c>
      <c r="H4" s="3" t="inlineStr">
        <is>
          <t>Margin (000s)</t>
        </is>
      </c>
    </row>
    <row r="5">
      <c r="A5" s="4" t="inlineStr">
        <is>
          <t>PR-FD/WH</t>
        </is>
      </c>
      <c r="B5" s="23" t="n">
        <v>2020</v>
      </c>
      <c r="C5" s="6" t="n">
        <v>8500</v>
      </c>
      <c r="D5" s="6" t="n">
        <v>3800</v>
      </c>
      <c r="E5" s="7">
        <f>D5/C5</f>
        <v/>
      </c>
      <c r="F5" s="7" t="n">
        <v>0.28</v>
      </c>
      <c r="G5" s="7">
        <f>E5+F5</f>
        <v/>
      </c>
      <c r="H5" s="6">
        <f>C5*(1-G5)</f>
        <v/>
      </c>
    </row>
    <row r="6">
      <c r="A6" s="4" t="inlineStr">
        <is>
          <t>PR-FD/WH</t>
        </is>
      </c>
      <c r="B6" s="23" t="n">
        <v>2021</v>
      </c>
      <c r="C6" s="6" t="n">
        <v>9200</v>
      </c>
      <c r="D6" s="6" t="n">
        <v>4100</v>
      </c>
      <c r="E6" s="7">
        <f>D6/C6</f>
        <v/>
      </c>
      <c r="F6" s="7" t="n">
        <v>0.28</v>
      </c>
      <c r="G6" s="7">
        <f>E6+F6</f>
        <v/>
      </c>
      <c r="H6" s="6">
        <f>C6*(1-G6)</f>
        <v/>
      </c>
    </row>
    <row r="7">
      <c r="A7" s="4" t="inlineStr">
        <is>
          <t>PR-FD/WH</t>
        </is>
      </c>
      <c r="B7" s="23" t="n">
        <v>2022</v>
      </c>
      <c r="C7" s="6" t="n">
        <v>10500</v>
      </c>
      <c r="D7" s="6" t="n">
        <v>7200</v>
      </c>
      <c r="E7" s="7">
        <f>D7/C7</f>
        <v/>
      </c>
      <c r="F7" s="7" t="n">
        <v>0.28</v>
      </c>
      <c r="G7" s="7">
        <f>E7+F7</f>
        <v/>
      </c>
      <c r="H7" s="6">
        <f>C7*(1-G7)</f>
        <v/>
      </c>
    </row>
    <row r="8">
      <c r="A8" s="4" t="inlineStr">
        <is>
          <t>PR-FD/WH</t>
        </is>
      </c>
      <c r="B8" s="23" t="n">
        <v>2023</v>
      </c>
      <c r="C8" s="6" t="n">
        <v>11800</v>
      </c>
      <c r="D8" s="6" t="n">
        <v>5500</v>
      </c>
      <c r="E8" s="7">
        <f>D8/C8</f>
        <v/>
      </c>
      <c r="F8" s="7" t="n">
        <v>0.28</v>
      </c>
      <c r="G8" s="7">
        <f>E8+F8</f>
        <v/>
      </c>
      <c r="H8" s="6">
        <f>C8*(1-G8)</f>
        <v/>
      </c>
    </row>
    <row r="9">
      <c r="A9" s="4" t="inlineStr">
        <is>
          <t>PR-FD/WH</t>
        </is>
      </c>
      <c r="B9" s="23" t="n">
        <v>2024</v>
      </c>
      <c r="C9" s="6" t="n">
        <v>13200</v>
      </c>
      <c r="D9" s="6" t="n">
        <v>6100</v>
      </c>
      <c r="E9" s="7">
        <f>D9/C9</f>
        <v/>
      </c>
      <c r="F9" s="7" t="n">
        <v>0.28</v>
      </c>
      <c r="G9" s="7">
        <f>E9+F9</f>
        <v/>
      </c>
      <c r="H9" s="6">
        <f>C9*(1-G9)</f>
        <v/>
      </c>
    </row>
    <row r="10">
      <c r="A10" s="4" t="inlineStr">
        <is>
          <t>PR-FD/WH</t>
        </is>
      </c>
      <c r="B10" s="23" t="n">
        <v>2025</v>
      </c>
      <c r="C10" s="6" t="n">
        <v>14800</v>
      </c>
      <c r="D10" s="6" t="n">
        <v>8200</v>
      </c>
      <c r="E10" s="7">
        <f>D10/C10</f>
        <v/>
      </c>
      <c r="F10" s="7" t="n">
        <v>0.28</v>
      </c>
      <c r="G10" s="7">
        <f>E10+F10</f>
        <v/>
      </c>
      <c r="H10" s="6">
        <f>C10*(1-G10)</f>
        <v/>
      </c>
    </row>
    <row r="11">
      <c r="A11" s="4" t="inlineStr">
        <is>
          <t>FL/WS</t>
        </is>
      </c>
      <c r="B11" s="23" t="n">
        <v>2020</v>
      </c>
      <c r="C11" s="6" t="n">
        <v>6200</v>
      </c>
      <c r="D11" s="6" t="n">
        <v>8500</v>
      </c>
      <c r="E11" s="7">
        <f>D11/C11</f>
        <v/>
      </c>
      <c r="F11" s="7" t="n">
        <v>0.28</v>
      </c>
      <c r="G11" s="7">
        <f>E11+F11</f>
        <v/>
      </c>
      <c r="H11" s="6">
        <f>C11*(1-G11)</f>
        <v/>
      </c>
    </row>
    <row r="12">
      <c r="A12" s="4" t="inlineStr">
        <is>
          <t>FL/WS</t>
        </is>
      </c>
      <c r="B12" s="23" t="n">
        <v>2021</v>
      </c>
      <c r="C12" s="6" t="n">
        <v>7100</v>
      </c>
      <c r="D12" s="6" t="n">
        <v>3200</v>
      </c>
      <c r="E12" s="7">
        <f>D12/C12</f>
        <v/>
      </c>
      <c r="F12" s="7" t="n">
        <v>0.28</v>
      </c>
      <c r="G12" s="7">
        <f>E12+F12</f>
        <v/>
      </c>
      <c r="H12" s="6">
        <f>C12*(1-G12)</f>
        <v/>
      </c>
    </row>
    <row r="13">
      <c r="A13" s="4" t="inlineStr">
        <is>
          <t>FL/WS</t>
        </is>
      </c>
      <c r="B13" s="23" t="n">
        <v>2022</v>
      </c>
      <c r="C13" s="6" t="n">
        <v>8200</v>
      </c>
      <c r="D13" s="6" t="n">
        <v>12800</v>
      </c>
      <c r="E13" s="7">
        <f>D13/C13</f>
        <v/>
      </c>
      <c r="F13" s="7" t="n">
        <v>0.28</v>
      </c>
      <c r="G13" s="7">
        <f>E13+F13</f>
        <v/>
      </c>
      <c r="H13" s="6">
        <f>C13*(1-G13)</f>
        <v/>
      </c>
    </row>
    <row r="14">
      <c r="A14" s="4" t="inlineStr">
        <is>
          <t>FL/WS</t>
        </is>
      </c>
      <c r="B14" s="23" t="n">
        <v>2023</v>
      </c>
      <c r="C14" s="6" t="n">
        <v>9500</v>
      </c>
      <c r="D14" s="6" t="n">
        <v>4800</v>
      </c>
      <c r="E14" s="7">
        <f>D14/C14</f>
        <v/>
      </c>
      <c r="F14" s="7" t="n">
        <v>0.28</v>
      </c>
      <c r="G14" s="7">
        <f>E14+F14</f>
        <v/>
      </c>
      <c r="H14" s="6">
        <f>C14*(1-G14)</f>
        <v/>
      </c>
    </row>
    <row r="15">
      <c r="A15" s="4" t="inlineStr">
        <is>
          <t>FL/WS</t>
        </is>
      </c>
      <c r="B15" s="23" t="n">
        <v>2024</v>
      </c>
      <c r="C15" s="6" t="n">
        <v>11000</v>
      </c>
      <c r="D15" s="6" t="n">
        <v>5200</v>
      </c>
      <c r="E15" s="7">
        <f>D15/C15</f>
        <v/>
      </c>
      <c r="F15" s="7" t="n">
        <v>0.28</v>
      </c>
      <c r="G15" s="7">
        <f>E15+F15</f>
        <v/>
      </c>
      <c r="H15" s="6">
        <f>C15*(1-G15)</f>
        <v/>
      </c>
    </row>
    <row r="16">
      <c r="A16" s="4" t="inlineStr">
        <is>
          <t>FL/WS</t>
        </is>
      </c>
      <c r="B16" s="23" t="n">
        <v>2025</v>
      </c>
      <c r="C16" s="6" t="n">
        <v>12500</v>
      </c>
      <c r="D16" s="6" t="n">
        <v>52000</v>
      </c>
      <c r="E16" s="7">
        <f>D16/C16</f>
        <v/>
      </c>
      <c r="F16" s="7" t="n">
        <v>0.28</v>
      </c>
      <c r="G16" s="7">
        <f>E16+F16</f>
        <v/>
      </c>
      <c r="H16" s="6">
        <f>C16*(1-G16)</f>
        <v/>
      </c>
    </row>
    <row r="17">
      <c r="A17" s="4" t="inlineStr">
        <is>
          <t>CONTAM/RECALL</t>
        </is>
      </c>
      <c r="B17" s="23" t="n">
        <v>2020</v>
      </c>
      <c r="C17" s="6" t="n">
        <v>4800</v>
      </c>
      <c r="D17" s="6" t="n">
        <v>2100</v>
      </c>
      <c r="E17" s="7">
        <f>D17/C17</f>
        <v/>
      </c>
      <c r="F17" s="7" t="n">
        <v>0.28</v>
      </c>
      <c r="G17" s="7">
        <f>E17+F17</f>
        <v/>
      </c>
      <c r="H17" s="6">
        <f>C17*(1-G17)</f>
        <v/>
      </c>
    </row>
    <row r="18">
      <c r="A18" s="4" t="inlineStr">
        <is>
          <t>CONTAM/RECALL</t>
        </is>
      </c>
      <c r="B18" s="23" t="n">
        <v>2021</v>
      </c>
      <c r="C18" s="6" t="n">
        <v>5500</v>
      </c>
      <c r="D18" s="6" t="n">
        <v>1800</v>
      </c>
      <c r="E18" s="7">
        <f>D18/C18</f>
        <v/>
      </c>
      <c r="F18" s="7" t="n">
        <v>0.28</v>
      </c>
      <c r="G18" s="7">
        <f>E18+F18</f>
        <v/>
      </c>
      <c r="H18" s="6">
        <f>C18*(1-G18)</f>
        <v/>
      </c>
    </row>
    <row r="19">
      <c r="A19" s="4" t="inlineStr">
        <is>
          <t>CONTAM/RECALL</t>
        </is>
      </c>
      <c r="B19" s="23" t="n">
        <v>2022</v>
      </c>
      <c r="C19" s="6" t="n">
        <v>6200</v>
      </c>
      <c r="D19" s="6" t="n">
        <v>8500</v>
      </c>
      <c r="E19" s="7">
        <f>D19/C19</f>
        <v/>
      </c>
      <c r="F19" s="7" t="n">
        <v>0.28</v>
      </c>
      <c r="G19" s="7">
        <f>E19+F19</f>
        <v/>
      </c>
      <c r="H19" s="6">
        <f>C19*(1-G19)</f>
        <v/>
      </c>
    </row>
    <row r="20">
      <c r="A20" s="4" t="inlineStr">
        <is>
          <t>CONTAM/RECALL</t>
        </is>
      </c>
      <c r="B20" s="23" t="n">
        <v>2023</v>
      </c>
      <c r="C20" s="6" t="n">
        <v>7000</v>
      </c>
      <c r="D20" s="6" t="n">
        <v>3200</v>
      </c>
      <c r="E20" s="7">
        <f>D20/C20</f>
        <v/>
      </c>
      <c r="F20" s="7" t="n">
        <v>0.28</v>
      </c>
      <c r="G20" s="7">
        <f>E20+F20</f>
        <v/>
      </c>
      <c r="H20" s="6">
        <f>C20*(1-G20)</f>
        <v/>
      </c>
    </row>
    <row r="21">
      <c r="A21" s="4" t="inlineStr">
        <is>
          <t>CONTAM/RECALL</t>
        </is>
      </c>
      <c r="B21" s="23" t="n">
        <v>2024</v>
      </c>
      <c r="C21" s="6" t="n">
        <v>8200</v>
      </c>
      <c r="D21" s="6" t="n">
        <v>2800</v>
      </c>
      <c r="E21" s="7">
        <f>D21/C21</f>
        <v/>
      </c>
      <c r="F21" s="7" t="n">
        <v>0.28</v>
      </c>
      <c r="G21" s="7">
        <f>E21+F21</f>
        <v/>
      </c>
      <c r="H21" s="6">
        <f>C21*(1-G21)</f>
        <v/>
      </c>
    </row>
    <row r="22">
      <c r="A22" s="4" t="inlineStr">
        <is>
          <t>CONTAM/RECALL</t>
        </is>
      </c>
      <c r="B22" s="23" t="n">
        <v>2025</v>
      </c>
      <c r="C22" s="6" t="n">
        <v>9500</v>
      </c>
      <c r="D22" s="6" t="n">
        <v>32500</v>
      </c>
      <c r="E22" s="7">
        <f>D22/C22</f>
        <v/>
      </c>
      <c r="F22" s="7" t="n">
        <v>0.28</v>
      </c>
      <c r="G22" s="7">
        <f>E22+F22</f>
        <v/>
      </c>
      <c r="H22" s="6">
        <f>C22*(1-G22)</f>
        <v/>
      </c>
    </row>
    <row r="23">
      <c r="A23" s="4" t="inlineStr">
        <is>
          <t>PL-FD</t>
        </is>
      </c>
      <c r="B23" s="23" t="n">
        <v>2020</v>
      </c>
      <c r="C23" s="6" t="n">
        <v>5200</v>
      </c>
      <c r="D23" s="6" t="n">
        <v>2800</v>
      </c>
      <c r="E23" s="7">
        <f>D23/C23</f>
        <v/>
      </c>
      <c r="F23" s="7" t="n">
        <v>0.28</v>
      </c>
      <c r="G23" s="7">
        <f>E23+F23</f>
        <v/>
      </c>
      <c r="H23" s="6">
        <f>C23*(1-G23)</f>
        <v/>
      </c>
    </row>
    <row r="24">
      <c r="A24" s="4" t="inlineStr">
        <is>
          <t>PL-FD</t>
        </is>
      </c>
      <c r="B24" s="23" t="n">
        <v>2021</v>
      </c>
      <c r="C24" s="6" t="n">
        <v>5800</v>
      </c>
      <c r="D24" s="6" t="n">
        <v>3100</v>
      </c>
      <c r="E24" s="7">
        <f>D24/C24</f>
        <v/>
      </c>
      <c r="F24" s="7" t="n">
        <v>0.28</v>
      </c>
      <c r="G24" s="7">
        <f>E24+F24</f>
        <v/>
      </c>
      <c r="H24" s="6">
        <f>C24*(1-G24)</f>
        <v/>
      </c>
    </row>
    <row r="25">
      <c r="A25" s="4" t="inlineStr">
        <is>
          <t>PL-FD</t>
        </is>
      </c>
      <c r="B25" s="23" t="n">
        <v>2022</v>
      </c>
      <c r="C25" s="6" t="n">
        <v>6500</v>
      </c>
      <c r="D25" s="6" t="n">
        <v>4200</v>
      </c>
      <c r="E25" s="7">
        <f>D25/C25</f>
        <v/>
      </c>
      <c r="F25" s="7" t="n">
        <v>0.28</v>
      </c>
      <c r="G25" s="7">
        <f>E25+F25</f>
        <v/>
      </c>
      <c r="H25" s="6">
        <f>C25*(1-G25)</f>
        <v/>
      </c>
    </row>
    <row r="26">
      <c r="A26" s="4" t="inlineStr">
        <is>
          <t>PL-FD</t>
        </is>
      </c>
      <c r="B26" s="23" t="n">
        <v>2023</v>
      </c>
      <c r="C26" s="6" t="n">
        <v>7200</v>
      </c>
      <c r="D26" s="6" t="n">
        <v>3800</v>
      </c>
      <c r="E26" s="7">
        <f>D26/C26</f>
        <v/>
      </c>
      <c r="F26" s="7" t="n">
        <v>0.28</v>
      </c>
      <c r="G26" s="7">
        <f>E26+F26</f>
        <v/>
      </c>
      <c r="H26" s="6">
        <f>C26*(1-G26)</f>
        <v/>
      </c>
    </row>
    <row r="27">
      <c r="A27" s="4" t="inlineStr">
        <is>
          <t>PL-FD</t>
        </is>
      </c>
      <c r="B27" s="23" t="n">
        <v>2024</v>
      </c>
      <c r="C27" s="6" t="n">
        <v>8000</v>
      </c>
      <c r="D27" s="6" t="n">
        <v>4100</v>
      </c>
      <c r="E27" s="7">
        <f>D27/C27</f>
        <v/>
      </c>
      <c r="F27" s="7" t="n">
        <v>0.28</v>
      </c>
      <c r="G27" s="7">
        <f>E27+F27</f>
        <v/>
      </c>
      <c r="H27" s="6">
        <f>C27*(1-G27)</f>
        <v/>
      </c>
    </row>
    <row r="28">
      <c r="A28" s="4" t="inlineStr">
        <is>
          <t>PL-FD</t>
        </is>
      </c>
      <c r="B28" s="23" t="n">
        <v>2025</v>
      </c>
      <c r="C28" s="6" t="n">
        <v>9000</v>
      </c>
      <c r="D28" s="6" t="n">
        <v>5200</v>
      </c>
      <c r="E28" s="7">
        <f>D28/C28</f>
        <v/>
      </c>
      <c r="F28" s="7" t="n">
        <v>0.28</v>
      </c>
      <c r="G28" s="7">
        <f>E28+F28</f>
        <v/>
      </c>
      <c r="H28" s="6">
        <f>C28*(1-G28)</f>
        <v/>
      </c>
    </row>
    <row r="29">
      <c r="A29" s="4" t="inlineStr">
        <is>
          <t>BI-SC/CBI</t>
        </is>
      </c>
      <c r="B29" s="23" t="n">
        <v>2020</v>
      </c>
      <c r="C29" s="6" t="n">
        <v>6800</v>
      </c>
      <c r="D29" s="6" t="n">
        <v>3200</v>
      </c>
      <c r="E29" s="7">
        <f>D29/C29</f>
        <v/>
      </c>
      <c r="F29" s="7" t="n">
        <v>0.28</v>
      </c>
      <c r="G29" s="7">
        <f>E29+F29</f>
        <v/>
      </c>
      <c r="H29" s="6">
        <f>C29*(1-G29)</f>
        <v/>
      </c>
    </row>
    <row r="30">
      <c r="A30" s="4" t="inlineStr">
        <is>
          <t>BI-SC/CBI</t>
        </is>
      </c>
      <c r="B30" s="23" t="n">
        <v>2021</v>
      </c>
      <c r="C30" s="6" t="n">
        <v>7800</v>
      </c>
      <c r="D30" s="6" t="n">
        <v>2800</v>
      </c>
      <c r="E30" s="7">
        <f>D30/C30</f>
        <v/>
      </c>
      <c r="F30" s="7" t="n">
        <v>0.28</v>
      </c>
      <c r="G30" s="7">
        <f>E30+F30</f>
        <v/>
      </c>
      <c r="H30" s="6">
        <f>C30*(1-G30)</f>
        <v/>
      </c>
    </row>
    <row r="31">
      <c r="A31" s="4" t="inlineStr">
        <is>
          <t>BI-SC/CBI</t>
        </is>
      </c>
      <c r="B31" s="23" t="n">
        <v>2022</v>
      </c>
      <c r="C31" s="6" t="n">
        <v>9000</v>
      </c>
      <c r="D31" s="6" t="n">
        <v>6500</v>
      </c>
      <c r="E31" s="7">
        <f>D31/C31</f>
        <v/>
      </c>
      <c r="F31" s="7" t="n">
        <v>0.28</v>
      </c>
      <c r="G31" s="7">
        <f>E31+F31</f>
        <v/>
      </c>
      <c r="H31" s="6">
        <f>C31*(1-G31)</f>
        <v/>
      </c>
    </row>
    <row r="32">
      <c r="A32" s="4" t="inlineStr">
        <is>
          <t>BI-SC/CBI</t>
        </is>
      </c>
      <c r="B32" s="23" t="n">
        <v>2023</v>
      </c>
      <c r="C32" s="6" t="n">
        <v>10200</v>
      </c>
      <c r="D32" s="6" t="n">
        <v>4800</v>
      </c>
      <c r="E32" s="7">
        <f>D32/C32</f>
        <v/>
      </c>
      <c r="F32" s="7" t="n">
        <v>0.28</v>
      </c>
      <c r="G32" s="7">
        <f>E32+F32</f>
        <v/>
      </c>
      <c r="H32" s="6">
        <f>C32*(1-G32)</f>
        <v/>
      </c>
    </row>
    <row r="33">
      <c r="A33" s="4" t="inlineStr">
        <is>
          <t>BI-SC/CBI</t>
        </is>
      </c>
      <c r="B33" s="23" t="n">
        <v>2024</v>
      </c>
      <c r="C33" s="6" t="n">
        <v>11500</v>
      </c>
      <c r="D33" s="6" t="n">
        <v>5500</v>
      </c>
      <c r="E33" s="7">
        <f>D33/C33</f>
        <v/>
      </c>
      <c r="F33" s="7" t="n">
        <v>0.28</v>
      </c>
      <c r="G33" s="7">
        <f>E33+F33</f>
        <v/>
      </c>
      <c r="H33" s="6">
        <f>C33*(1-G33)</f>
        <v/>
      </c>
    </row>
    <row r="34">
      <c r="A34" s="4" t="inlineStr">
        <is>
          <t>BI-SC/CBI</t>
        </is>
      </c>
      <c r="B34" s="23" t="n">
        <v>2025</v>
      </c>
      <c r="C34" s="6" t="n">
        <v>13000</v>
      </c>
      <c r="D34" s="6" t="n">
        <v>42000</v>
      </c>
      <c r="E34" s="7">
        <f>D34/C34</f>
        <v/>
      </c>
      <c r="F34" s="7" t="n">
        <v>0.28</v>
      </c>
      <c r="G34" s="7">
        <f>E34+F34</f>
        <v/>
      </c>
      <c r="H34" s="6">
        <f>C34*(1-G34)</f>
        <v/>
      </c>
    </row>
    <row r="35">
      <c r="A35" s="4" t="inlineStr">
        <is>
          <t>AGRI/WATER</t>
        </is>
      </c>
      <c r="B35" s="23" t="n">
        <v>2020</v>
      </c>
      <c r="C35" s="6" t="n">
        <v>3500</v>
      </c>
      <c r="D35" s="6" t="n">
        <v>1200</v>
      </c>
      <c r="E35" s="7">
        <f>D35/C35</f>
        <v/>
      </c>
      <c r="F35" s="7" t="n">
        <v>0.28</v>
      </c>
      <c r="G35" s="7">
        <f>E35+F35</f>
        <v/>
      </c>
      <c r="H35" s="6">
        <f>C35*(1-G35)</f>
        <v/>
      </c>
    </row>
    <row r="36">
      <c r="A36" s="4" t="inlineStr">
        <is>
          <t>AGRI/WATER</t>
        </is>
      </c>
      <c r="B36" s="23" t="n">
        <v>2021</v>
      </c>
      <c r="C36" s="6" t="n">
        <v>4000</v>
      </c>
      <c r="D36" s="6" t="n">
        <v>2200</v>
      </c>
      <c r="E36" s="7">
        <f>D36/C36</f>
        <v/>
      </c>
      <c r="F36" s="7" t="n">
        <v>0.28</v>
      </c>
      <c r="G36" s="7">
        <f>E36+F36</f>
        <v/>
      </c>
      <c r="H36" s="6">
        <f>C36*(1-G36)</f>
        <v/>
      </c>
    </row>
    <row r="37">
      <c r="A37" s="4" t="inlineStr">
        <is>
          <t>AGRI/WATER</t>
        </is>
      </c>
      <c r="B37" s="23" t="n">
        <v>2022</v>
      </c>
      <c r="C37" s="6" t="n">
        <v>4500</v>
      </c>
      <c r="D37" s="6" t="n">
        <v>5800</v>
      </c>
      <c r="E37" s="7">
        <f>D37/C37</f>
        <v/>
      </c>
      <c r="F37" s="7" t="n">
        <v>0.28</v>
      </c>
      <c r="G37" s="7">
        <f>E37+F37</f>
        <v/>
      </c>
      <c r="H37" s="6">
        <f>C37*(1-G37)</f>
        <v/>
      </c>
    </row>
    <row r="38">
      <c r="A38" s="4" t="inlineStr">
        <is>
          <t>AGRI/WATER</t>
        </is>
      </c>
      <c r="B38" s="23" t="n">
        <v>2023</v>
      </c>
      <c r="C38" s="6" t="n">
        <v>5200</v>
      </c>
      <c r="D38" s="6" t="n">
        <v>3500</v>
      </c>
      <c r="E38" s="7">
        <f>D38/C38</f>
        <v/>
      </c>
      <c r="F38" s="7" t="n">
        <v>0.28</v>
      </c>
      <c r="G38" s="7">
        <f>E38+F38</f>
        <v/>
      </c>
      <c r="H38" s="6">
        <f>C38*(1-G38)</f>
        <v/>
      </c>
    </row>
    <row r="39">
      <c r="A39" s="4" t="inlineStr">
        <is>
          <t>AGRI/WATER</t>
        </is>
      </c>
      <c r="B39" s="23" t="n">
        <v>2024</v>
      </c>
      <c r="C39" s="6" t="n">
        <v>6000</v>
      </c>
      <c r="D39" s="6" t="n">
        <v>4200</v>
      </c>
      <c r="E39" s="7">
        <f>D39/C39</f>
        <v/>
      </c>
      <c r="F39" s="7" t="n">
        <v>0.28</v>
      </c>
      <c r="G39" s="7">
        <f>E39+F39</f>
        <v/>
      </c>
      <c r="H39" s="6">
        <f>C39*(1-G39)</f>
        <v/>
      </c>
    </row>
    <row r="40">
      <c r="A40" s="4" t="inlineStr">
        <is>
          <t>AGRI/WATER</t>
        </is>
      </c>
      <c r="B40" s="23" t="n">
        <v>2025</v>
      </c>
      <c r="C40" s="6" t="n">
        <v>6800</v>
      </c>
      <c r="D40" s="6" t="n">
        <v>35300</v>
      </c>
      <c r="E40" s="7">
        <f>D40/C40</f>
        <v/>
      </c>
      <c r="F40" s="7" t="n">
        <v>0.28</v>
      </c>
      <c r="G40" s="7">
        <f>E40+F40</f>
        <v/>
      </c>
      <c r="H40" s="6">
        <f>C40*(1-G40)</f>
        <v/>
      </c>
    </row>
    <row r="41">
      <c r="A41" s="8" t="inlineStr">
        <is>
          <t>ALL LOBs</t>
        </is>
      </c>
      <c r="C41" s="9">
        <f>SUM(C5:C40)</f>
        <v/>
      </c>
      <c r="D41" s="9">
        <f>SUM(D5:D40)</f>
        <v/>
      </c>
      <c r="E41" s="24">
        <f>D41/C41</f>
        <v/>
      </c>
      <c r="H41" s="9">
        <f>SUM(H5:H40)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RESERVE ANALYSIS — Nestlé S.A. — BU3</t>
        </is>
      </c>
    </row>
    <row r="2">
      <c r="A2" s="2" t="inlineStr">
        <is>
          <t>As at 31/12/2025  |  CHF equiv. (000s)  |  Blue = actuary IBNR inputs  |  Includes parametric &amp; index claims</t>
        </is>
      </c>
    </row>
    <row r="4">
      <c r="A4" s="25" t="inlineStr">
        <is>
          <t>A. RESERVE BY LOB</t>
        </is>
      </c>
    </row>
    <row r="6">
      <c r="A6" s="3" t="inlineStr">
        <is>
          <t>LOB Code</t>
        </is>
      </c>
      <c r="B6" s="3" t="inlineStr">
        <is>
          <t>Open Cases</t>
        </is>
      </c>
      <c r="C6" s="3" t="inlineStr">
        <is>
          <t>Paid Claims</t>
        </is>
      </c>
      <c r="D6" s="3" t="inlineStr">
        <is>
          <t>Paid Costs</t>
        </is>
      </c>
      <c r="E6" s="3" t="inlineStr">
        <is>
          <t>Case O/S</t>
        </is>
      </c>
      <c r="F6" s="3" t="inlineStr">
        <is>
          <t>IBNR</t>
        </is>
      </c>
      <c r="G6" s="3" t="inlineStr">
        <is>
          <t>Total Incurred</t>
        </is>
      </c>
      <c r="H6" s="3" t="inlineStr">
        <is>
          <t>Total O/S</t>
        </is>
      </c>
      <c r="I6" s="3" t="inlineStr">
        <is>
          <t>Paid %</t>
        </is>
      </c>
      <c r="J6" s="3" t="inlineStr">
        <is>
          <t>Sign-off Date</t>
        </is>
      </c>
    </row>
    <row r="7">
      <c r="A7" s="4" t="inlineStr">
        <is>
          <t>PR-FD/WH</t>
        </is>
      </c>
      <c r="B7" s="4" t="n">
        <v>3</v>
      </c>
      <c r="C7" s="6" t="n">
        <v>25900</v>
      </c>
      <c r="D7" s="6" t="n">
        <v>1320</v>
      </c>
      <c r="E7" s="6" t="n">
        <v>26000</v>
      </c>
      <c r="F7" s="26" t="n">
        <v>6500</v>
      </c>
      <c r="G7" s="6">
        <f>C7+D7+E7+F7</f>
        <v/>
      </c>
      <c r="H7" s="6">
        <f>E7+F7</f>
        <v/>
      </c>
      <c r="I7" s="7">
        <f>(C7+D7)/G7</f>
        <v/>
      </c>
      <c r="J7" s="5" t="n">
        <v>46009</v>
      </c>
    </row>
    <row r="8">
      <c r="A8" s="4" t="inlineStr">
        <is>
          <t>FL/WS</t>
        </is>
      </c>
      <c r="B8" s="4" t="n">
        <v>4</v>
      </c>
      <c r="C8" s="6" t="n">
        <v>43900</v>
      </c>
      <c r="D8" s="6" t="n">
        <v>2350</v>
      </c>
      <c r="E8" s="6" t="n">
        <v>51500</v>
      </c>
      <c r="F8" s="26" t="n">
        <v>18000</v>
      </c>
      <c r="G8" s="6">
        <f>C8+D8+E8+F8</f>
        <v/>
      </c>
      <c r="H8" s="6">
        <f>E8+F8</f>
        <v/>
      </c>
      <c r="I8" s="7">
        <f>(C8+D8)/G8</f>
        <v/>
      </c>
      <c r="J8" s="5" t="n">
        <v>46011</v>
      </c>
    </row>
    <row r="9">
      <c r="A9" s="4" t="inlineStr">
        <is>
          <t>CONTAM/RECALL</t>
        </is>
      </c>
      <c r="B9" s="4" t="n">
        <v>4</v>
      </c>
      <c r="C9" s="6" t="n">
        <v>18598</v>
      </c>
      <c r="D9" s="6" t="n">
        <v>4248</v>
      </c>
      <c r="E9" s="6" t="n">
        <v>8260</v>
      </c>
      <c r="F9" s="26" t="n">
        <v>4500</v>
      </c>
      <c r="G9" s="6">
        <f>C9+D9+E9+F9</f>
        <v/>
      </c>
      <c r="H9" s="6">
        <f>E9+F9</f>
        <v/>
      </c>
      <c r="I9" s="7">
        <f>(C9+D9)/G9</f>
        <v/>
      </c>
      <c r="J9" s="5" t="n">
        <v>46013</v>
      </c>
    </row>
    <row r="10">
      <c r="A10" s="4" t="inlineStr">
        <is>
          <t>PL-FD</t>
        </is>
      </c>
      <c r="B10" s="4" t="n">
        <v>3</v>
      </c>
      <c r="C10" s="6" t="n">
        <v>97</v>
      </c>
      <c r="D10" s="6" t="n">
        <v>50</v>
      </c>
      <c r="E10" s="6" t="n">
        <v>315</v>
      </c>
      <c r="F10" s="26" t="n">
        <v>2800</v>
      </c>
      <c r="G10" s="6">
        <f>C10+D10+E10+F10</f>
        <v/>
      </c>
      <c r="H10" s="6">
        <f>E10+F10</f>
        <v/>
      </c>
      <c r="I10" s="7">
        <f>(C10+D10)/G10</f>
        <v/>
      </c>
      <c r="J10" s="5" t="n">
        <v>46007</v>
      </c>
    </row>
    <row r="11">
      <c r="A11" s="4" t="inlineStr">
        <is>
          <t>BI-SC/CBI</t>
        </is>
      </c>
      <c r="B11" s="4" t="n">
        <v>2</v>
      </c>
      <c r="C11" s="6" t="n">
        <v>14200</v>
      </c>
      <c r="D11" s="6" t="n">
        <v>850</v>
      </c>
      <c r="E11" s="6" t="n">
        <v>22000</v>
      </c>
      <c r="F11" s="26" t="n">
        <v>12000</v>
      </c>
      <c r="G11" s="6">
        <f>C11+D11+E11+F11</f>
        <v/>
      </c>
      <c r="H11" s="6">
        <f>E11+F11</f>
        <v/>
      </c>
      <c r="I11" s="7">
        <f>(C11+D11)/G11</f>
        <v/>
      </c>
      <c r="J11" s="5" t="n">
        <v>46010</v>
      </c>
    </row>
    <row r="12">
      <c r="A12" s="4" t="inlineStr">
        <is>
          <t>AGRI/WATER</t>
        </is>
      </c>
      <c r="B12" s="4" t="n">
        <v>2</v>
      </c>
      <c r="C12" s="6" t="n">
        <v>26800</v>
      </c>
      <c r="D12" s="6" t="n">
        <v>1820</v>
      </c>
      <c r="E12" s="6" t="n">
        <v>14500</v>
      </c>
      <c r="F12" s="26" t="n">
        <v>8500</v>
      </c>
      <c r="G12" s="6">
        <f>C12+D12+E12+F12</f>
        <v/>
      </c>
      <c r="H12" s="6">
        <f>E12+F12</f>
        <v/>
      </c>
      <c r="I12" s="7">
        <f>(C12+D12)/G12</f>
        <v/>
      </c>
      <c r="J12" s="5" t="n">
        <v>46008</v>
      </c>
    </row>
    <row r="13">
      <c r="A13" s="4" t="inlineStr">
        <is>
          <t>D&amp;O</t>
        </is>
      </c>
      <c r="B13" s="4" t="n">
        <v>1</v>
      </c>
      <c r="C13" s="6" t="n">
        <v>0</v>
      </c>
      <c r="D13" s="6" t="n">
        <v>3800</v>
      </c>
      <c r="E13" s="6" t="n">
        <v>15000</v>
      </c>
      <c r="F13" s="26" t="n">
        <v>5000</v>
      </c>
      <c r="G13" s="6">
        <f>C13+D13+E13+F13</f>
        <v/>
      </c>
      <c r="H13" s="6">
        <f>E13+F13</f>
        <v/>
      </c>
      <c r="I13" s="7">
        <f>(C13+D13)/G13</f>
        <v/>
      </c>
      <c r="J13" s="5" t="n">
        <v>46006</v>
      </c>
    </row>
    <row r="14">
      <c r="A14" s="4" t="inlineStr">
        <is>
          <t>CARGO/STOCK</t>
        </is>
      </c>
      <c r="B14" s="4" t="n">
        <v>2</v>
      </c>
      <c r="C14" s="6" t="n">
        <v>15200</v>
      </c>
      <c r="D14" s="6" t="n">
        <v>530</v>
      </c>
      <c r="E14" s="6" t="n">
        <v>3500</v>
      </c>
      <c r="F14" s="26" t="n">
        <v>2200</v>
      </c>
      <c r="G14" s="6">
        <f>C14+D14+E14+F14</f>
        <v/>
      </c>
      <c r="H14" s="6">
        <f>E14+F14</f>
        <v/>
      </c>
      <c r="I14" s="7">
        <f>(C14+D14)/G14</f>
        <v/>
      </c>
      <c r="J14" s="5" t="n">
        <v>46005</v>
      </c>
    </row>
    <row r="15">
      <c r="A15" s="4" t="inlineStr">
        <is>
          <t>ENVIRO</t>
        </is>
      </c>
      <c r="B15" s="4" t="n">
        <v>0</v>
      </c>
      <c r="C15" s="6" t="n">
        <v>5200</v>
      </c>
      <c r="D15" s="6" t="n">
        <v>1800</v>
      </c>
      <c r="E15" s="6" t="n">
        <v>0</v>
      </c>
      <c r="F15" s="26" t="n">
        <v>800</v>
      </c>
      <c r="G15" s="6">
        <f>C15+D15+E15+F15</f>
        <v/>
      </c>
      <c r="H15" s="6">
        <f>E15+F15</f>
        <v/>
      </c>
      <c r="I15" s="7">
        <f>(C15+D15)/G15</f>
        <v/>
      </c>
      <c r="J15" s="5" t="n">
        <v>46004</v>
      </c>
    </row>
    <row r="16">
      <c r="A16" s="8" t="inlineStr">
        <is>
          <t>ALL LOBs</t>
        </is>
      </c>
      <c r="B16" s="9">
        <f>SUM(B7:B15)</f>
        <v/>
      </c>
      <c r="C16" s="9">
        <f>SUM(C7:C15)</f>
        <v/>
      </c>
      <c r="D16" s="9">
        <f>SUM(D7:D15)</f>
        <v/>
      </c>
      <c r="E16" s="9">
        <f>SUM(E7:E15)</f>
        <v/>
      </c>
      <c r="F16" s="9">
        <f>SUM(F7:F15)</f>
        <v/>
      </c>
      <c r="G16" s="9">
        <f>SUM(G7:G15)</f>
        <v/>
      </c>
      <c r="H16" s="9">
        <f>SUM(H7:H15)</f>
        <v/>
      </c>
      <c r="I16" s="24">
        <f>(C16+D16)/G16</f>
        <v/>
      </c>
    </row>
  </sheetData>
  <mergeCells count="3">
    <mergeCell ref="A2:K2"/>
    <mergeCell ref="A1:K1"/>
    <mergeCell ref="A4:K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UNDERWRITING P&amp;L — Nestlé S.A. — BU3</t>
        </is>
      </c>
    </row>
    <row r="2">
      <c r="A2" s="2" t="inlineStr">
        <is>
          <t>CHF equiv. (000s)  |  2020–2025  |  Net of QS reinsurance</t>
        </is>
      </c>
    </row>
    <row r="4">
      <c r="A4" s="3" t="inlineStr"/>
      <c r="B4" s="3" t="inlineStr">
        <is>
          <t>2020</t>
        </is>
      </c>
      <c r="C4" s="3" t="inlineStr">
        <is>
          <t>2021</t>
        </is>
      </c>
      <c r="D4" s="3" t="inlineStr">
        <is>
          <t>2022</t>
        </is>
      </c>
      <c r="E4" s="3" t="inlineStr">
        <is>
          <t>2023</t>
        </is>
      </c>
      <c r="F4" s="3" t="inlineStr">
        <is>
          <t>2024</t>
        </is>
      </c>
      <c r="G4" s="3" t="inlineStr">
        <is>
          <t>2025</t>
        </is>
      </c>
      <c r="H4" s="3" t="inlineStr">
        <is>
          <t>Cumulative</t>
        </is>
      </c>
    </row>
    <row r="5">
      <c r="A5" s="27" t="inlineStr">
        <is>
          <t>Gross Premium</t>
        </is>
      </c>
      <c r="B5" s="28" t="n">
        <v>35000</v>
      </c>
      <c r="C5" s="28" t="n">
        <v>39400</v>
      </c>
      <c r="D5" s="28" t="n">
        <v>44900</v>
      </c>
      <c r="E5" s="28" t="n">
        <v>50900</v>
      </c>
      <c r="F5" s="28" t="n">
        <v>57900</v>
      </c>
      <c r="G5" s="28" t="n">
        <v>65600</v>
      </c>
      <c r="H5" s="29">
        <f>SUM(B5:G5)</f>
        <v/>
      </c>
    </row>
    <row r="6">
      <c r="A6" s="27" t="inlineStr">
        <is>
          <t>Cession %</t>
        </is>
      </c>
      <c r="B6" s="30" t="n">
        <v>0.34</v>
      </c>
      <c r="C6" s="30" t="n">
        <v>0.34</v>
      </c>
      <c r="D6" s="30" t="n">
        <v>0.36</v>
      </c>
      <c r="E6" s="30" t="n">
        <v>0.36</v>
      </c>
      <c r="F6" s="30" t="n">
        <v>0.38</v>
      </c>
      <c r="G6" s="30" t="n">
        <v>0.38</v>
      </c>
    </row>
    <row r="7">
      <c r="A7" s="27" t="inlineStr">
        <is>
          <t>Net Premium</t>
        </is>
      </c>
      <c r="B7" s="28">
        <f>B5*(1-B6)</f>
        <v/>
      </c>
      <c r="C7" s="28">
        <f>C5*(1-C6)</f>
        <v/>
      </c>
      <c r="D7" s="28">
        <f>D5*(1-D6)</f>
        <v/>
      </c>
      <c r="E7" s="28">
        <f>E5*(1-E6)</f>
        <v/>
      </c>
      <c r="F7" s="28">
        <f>F5*(1-F6)</f>
        <v/>
      </c>
      <c r="G7" s="28">
        <f>G5*(1-G6)</f>
        <v/>
      </c>
      <c r="H7" s="29">
        <f>SUM(B7:G7)</f>
        <v/>
      </c>
    </row>
    <row r="8">
      <c r="A8" s="27" t="inlineStr">
        <is>
          <t>UPR Movement</t>
        </is>
      </c>
      <c r="B8" s="26" t="n">
        <v>-800</v>
      </c>
      <c r="C8" s="26" t="n">
        <v>-1000</v>
      </c>
      <c r="D8" s="26" t="n">
        <v>-1200</v>
      </c>
      <c r="E8" s="26" t="n">
        <v>-1400</v>
      </c>
      <c r="F8" s="26" t="n">
        <v>-1600</v>
      </c>
      <c r="G8" s="26" t="n">
        <v>-1800</v>
      </c>
      <c r="H8" s="29">
        <f>SUM(B8:G8)</f>
        <v/>
      </c>
    </row>
    <row r="9">
      <c r="A9" s="31" t="inlineStr">
        <is>
          <t>Net Earned Premium</t>
        </is>
      </c>
      <c r="B9" s="32">
        <f>B7+B8</f>
        <v/>
      </c>
      <c r="C9" s="32">
        <f>C7+C8</f>
        <v/>
      </c>
      <c r="D9" s="32">
        <f>D7+D8</f>
        <v/>
      </c>
      <c r="E9" s="32">
        <f>E7+E8</f>
        <v/>
      </c>
      <c r="F9" s="32">
        <f>F7+F8</f>
        <v/>
      </c>
      <c r="G9" s="32">
        <f>G7+G8</f>
        <v/>
      </c>
      <c r="H9" s="29">
        <f>SUM(B9:G9)</f>
        <v/>
      </c>
    </row>
    <row r="10">
      <c r="A10" s="27" t="inlineStr"/>
    </row>
    <row r="11">
      <c r="A11" s="27" t="inlineStr">
        <is>
          <t>Net Incurred Losses</t>
        </is>
      </c>
      <c r="B11" s="28" t="n">
        <v>14700</v>
      </c>
      <c r="C11" s="28" t="n">
        <v>11400</v>
      </c>
      <c r="D11" s="28" t="n">
        <v>29500</v>
      </c>
      <c r="E11" s="28" t="n">
        <v>17100</v>
      </c>
      <c r="F11" s="28" t="n">
        <v>18700</v>
      </c>
      <c r="G11" s="28" t="n">
        <v>112000</v>
      </c>
      <c r="H11" s="29">
        <f>SUM(B11:G11)</f>
        <v/>
      </c>
    </row>
    <row r="12">
      <c r="A12" s="27" t="inlineStr">
        <is>
          <t>Commission (15%)</t>
        </is>
      </c>
      <c r="B12" s="28">
        <f>B9*0.15</f>
        <v/>
      </c>
      <c r="C12" s="28">
        <f>C9*0.15</f>
        <v/>
      </c>
      <c r="D12" s="28">
        <f>D9*0.15</f>
        <v/>
      </c>
      <c r="E12" s="28">
        <f>E9*0.15</f>
        <v/>
      </c>
      <c r="F12" s="28">
        <f>F9*0.15</f>
        <v/>
      </c>
      <c r="G12" s="28">
        <f>G9*0.15</f>
        <v/>
      </c>
      <c r="H12" s="29">
        <f>SUM(B12:G12)</f>
        <v/>
      </c>
    </row>
    <row r="13">
      <c r="A13" s="27" t="inlineStr">
        <is>
          <t>Admin (9%)</t>
        </is>
      </c>
      <c r="B13" s="28">
        <f>B9*0.09</f>
        <v/>
      </c>
      <c r="C13" s="28">
        <f>C9*0.09</f>
        <v/>
      </c>
      <c r="D13" s="28">
        <f>D9*0.09</f>
        <v/>
      </c>
      <c r="E13" s="28">
        <f>E9*0.09</f>
        <v/>
      </c>
      <c r="F13" s="28">
        <f>F9*0.09</f>
        <v/>
      </c>
      <c r="G13" s="28">
        <f>G9*0.09</f>
        <v/>
      </c>
      <c r="H13" s="29">
        <f>SUM(B13:G13)</f>
        <v/>
      </c>
    </row>
    <row r="14">
      <c r="A14" s="31" t="inlineStr">
        <is>
          <t>Total Costs</t>
        </is>
      </c>
      <c r="B14" s="32">
        <f>B11+B12+B13</f>
        <v/>
      </c>
      <c r="C14" s="32">
        <f>C11+C12+C13</f>
        <v/>
      </c>
      <c r="D14" s="32">
        <f>D11+D12+D13</f>
        <v/>
      </c>
      <c r="E14" s="32">
        <f>E11+E12+E13</f>
        <v/>
      </c>
      <c r="F14" s="32">
        <f>F11+F12+F13</f>
        <v/>
      </c>
      <c r="G14" s="32">
        <f>G11+G12+G13</f>
        <v/>
      </c>
      <c r="H14" s="29">
        <f>SUM(B14:G14)</f>
        <v/>
      </c>
    </row>
    <row r="15">
      <c r="A15" s="27" t="inlineStr"/>
    </row>
    <row r="16">
      <c r="A16" s="31" t="inlineStr">
        <is>
          <t>UW Result</t>
        </is>
      </c>
      <c r="B16" s="32">
        <f>B9-B14</f>
        <v/>
      </c>
      <c r="C16" s="32">
        <f>C9-C14</f>
        <v/>
      </c>
      <c r="D16" s="32">
        <f>D9-D14</f>
        <v/>
      </c>
      <c r="E16" s="32">
        <f>E9-E14</f>
        <v/>
      </c>
      <c r="F16" s="32">
        <f>F9-F14</f>
        <v/>
      </c>
      <c r="G16" s="32">
        <f>G9-G14</f>
        <v/>
      </c>
      <c r="H16" s="29">
        <f>SUM(B16:G16)</f>
        <v/>
      </c>
    </row>
    <row r="17">
      <c r="A17" s="27" t="inlineStr">
        <is>
          <t>Investment Income</t>
        </is>
      </c>
      <c r="B17" s="26" t="n">
        <v>1200</v>
      </c>
      <c r="C17" s="26" t="n">
        <v>1100</v>
      </c>
      <c r="D17" s="26" t="n">
        <v>1400</v>
      </c>
      <c r="E17" s="26" t="n">
        <v>1600</v>
      </c>
      <c r="F17" s="26" t="n">
        <v>1800</v>
      </c>
      <c r="G17" s="26" t="n">
        <v>2000</v>
      </c>
      <c r="H17" s="29">
        <f>SUM(B17:G17)</f>
        <v/>
      </c>
    </row>
    <row r="18">
      <c r="A18" s="31" t="inlineStr">
        <is>
          <t>Pre-Tax</t>
        </is>
      </c>
      <c r="B18" s="32">
        <f>B16+B17</f>
        <v/>
      </c>
      <c r="C18" s="32">
        <f>C16+C17</f>
        <v/>
      </c>
      <c r="D18" s="32">
        <f>D16+D17</f>
        <v/>
      </c>
      <c r="E18" s="32">
        <f>E16+E17</f>
        <v/>
      </c>
      <c r="F18" s="32">
        <f>F16+F17</f>
        <v/>
      </c>
      <c r="G18" s="32">
        <f>G16+G17</f>
        <v/>
      </c>
      <c r="H18" s="29">
        <f>SUM(B18:G18)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INDICATIVE PREMIUM — Nestlé S.A. — 2026 Renewal</t>
        </is>
      </c>
    </row>
    <row r="2">
      <c r="A2" s="2" t="inlineStr">
        <is>
          <t>BU3 Consumer &amp; Agri  |  CHF equiv. (000s)  |  Blue = modifiable  |  Burning cost + frequency/severity approach</t>
        </is>
      </c>
    </row>
    <row r="4">
      <c r="A4" s="25" t="inlineStr">
        <is>
          <t>RATING FACTORS</t>
        </is>
      </c>
    </row>
    <row r="6">
      <c r="A6" s="3" t="inlineStr">
        <is>
          <t>Factor</t>
        </is>
      </c>
      <c r="B6" s="3" t="inlineStr">
        <is>
          <t>Value</t>
        </is>
      </c>
    </row>
    <row r="7">
      <c r="A7" s="27" t="inlineStr">
        <is>
          <t>Base Rate — Food Mfg Property</t>
        </is>
      </c>
      <c r="B7" s="33" t="n">
        <v>0.0032</v>
      </c>
    </row>
    <row r="8">
      <c r="A8" s="27" t="inlineStr">
        <is>
          <t>Base Rate — Flood (named peril)</t>
        </is>
      </c>
      <c r="B8" s="33" t="n">
        <v>0.008500000000000001</v>
      </c>
    </row>
    <row r="9">
      <c r="A9" s="27" t="inlineStr">
        <is>
          <t>Base Rate — Windstorm</t>
        </is>
      </c>
      <c r="B9" s="33" t="n">
        <v>0.0048</v>
      </c>
    </row>
    <row r="10">
      <c r="A10" s="27" t="inlineStr">
        <is>
          <t>Base Rate — Contamination/Recall</t>
        </is>
      </c>
      <c r="B10" s="33" t="n">
        <v>0.0065</v>
      </c>
    </row>
    <row r="11">
      <c r="A11" s="27" t="inlineStr">
        <is>
          <t>Base Rate — Product Liability</t>
        </is>
      </c>
      <c r="B11" s="33" t="n">
        <v>0.0045</v>
      </c>
    </row>
    <row r="12">
      <c r="A12" s="27" t="inlineStr">
        <is>
          <t>Base Rate — BI / Supply Chain</t>
        </is>
      </c>
      <c r="B12" s="33" t="n">
        <v>0.0038</v>
      </c>
    </row>
    <row r="13">
      <c r="A13" s="27" t="inlineStr">
        <is>
          <t>Base Rate — Agri / Water</t>
        </is>
      </c>
      <c r="B13" s="33" t="n">
        <v>0.012</v>
      </c>
    </row>
    <row r="14">
      <c r="A14" s="27" t="inlineStr">
        <is>
          <t>Experience Mod (3yr burning cost)</t>
        </is>
      </c>
      <c r="B14" s="34" t="n">
        <v>1.08</v>
      </c>
    </row>
    <row r="15">
      <c r="A15" s="27" t="inlineStr">
        <is>
          <t>CAT Surcharge (Flood + Wind)</t>
        </is>
      </c>
      <c r="B15" s="35" t="n">
        <v>0.18</v>
      </c>
    </row>
    <row r="16">
      <c r="A16" s="27" t="inlineStr">
        <is>
          <t>Climate Change Uplift</t>
        </is>
      </c>
      <c r="B16" s="33" t="n">
        <v>0.05</v>
      </c>
    </row>
    <row r="17">
      <c r="A17" s="27" t="inlineStr">
        <is>
          <t>Market Factor</t>
        </is>
      </c>
      <c r="B17" s="34" t="n">
        <v>1.12</v>
      </c>
    </row>
    <row r="18">
      <c r="A18" s="27" t="inlineStr">
        <is>
          <t>Brokerage + RI Load</t>
        </is>
      </c>
      <c r="B18" s="35" t="n">
        <v>0.18</v>
      </c>
    </row>
    <row r="21">
      <c r="A21" s="25" t="inlineStr">
        <is>
          <t>LOB-LEVEL PRICING</t>
        </is>
      </c>
    </row>
    <row r="22">
      <c r="A22" s="3" t="inlineStr">
        <is>
          <t>LOB</t>
        </is>
      </c>
      <c r="B22" s="3" t="inlineStr">
        <is>
          <t>Exposure (000s)</t>
        </is>
      </c>
      <c r="C22" s="3" t="inlineStr">
        <is>
          <t>Base Rate</t>
        </is>
      </c>
      <c r="D22" s="3" t="inlineStr">
        <is>
          <t>Base Prem</t>
        </is>
      </c>
      <c r="E22" s="3" t="inlineStr">
        <is>
          <t>Exp. Loaded</t>
        </is>
      </c>
      <c r="F22" s="3" t="inlineStr">
        <is>
          <t>CAT+Climate Loaded</t>
        </is>
      </c>
      <c r="G22" s="3" t="inlineStr">
        <is>
          <t>Market Adjusted</t>
        </is>
      </c>
      <c r="H22" s="3" t="inlineStr">
        <is>
          <t>Distribution Loaded</t>
        </is>
      </c>
      <c r="I22" s="3" t="inlineStr">
        <is>
          <t>Expiring</t>
        </is>
      </c>
      <c r="J22" s="3" t="inlineStr">
        <is>
          <t>Change %</t>
        </is>
      </c>
    </row>
    <row r="23">
      <c r="A23" s="4" t="inlineStr">
        <is>
          <t>Property — Food/WH</t>
        </is>
      </c>
      <c r="B23" s="26" t="n">
        <v>9450000</v>
      </c>
      <c r="C23" s="36">
        <f>$B$7</f>
        <v/>
      </c>
      <c r="D23" s="6">
        <f>B23*C23</f>
        <v/>
      </c>
      <c r="E23" s="6">
        <f>D23*$B$14</f>
        <v/>
      </c>
      <c r="F23" s="6">
        <f>E23*(1+$B$15+$B$16)</f>
        <v/>
      </c>
      <c r="G23" s="6">
        <f>F23*$B$17</f>
        <v/>
      </c>
      <c r="H23" s="6">
        <f>G23*(1+$B$18)</f>
        <v/>
      </c>
      <c r="I23" s="26" t="n">
        <v>14800</v>
      </c>
      <c r="J23" s="7">
        <f>(H23-I23)/I23</f>
        <v/>
      </c>
    </row>
    <row r="24">
      <c r="A24" s="4" t="inlineStr">
        <is>
          <t>Flood</t>
        </is>
      </c>
      <c r="B24" s="26" t="n">
        <v>5200000</v>
      </c>
      <c r="C24" s="36">
        <f>$B$8</f>
        <v/>
      </c>
      <c r="D24" s="6">
        <f>B24*C24</f>
        <v/>
      </c>
      <c r="E24" s="6">
        <f>D24*$B$14</f>
        <v/>
      </c>
      <c r="F24" s="6">
        <f>E24*(1+$B$15+$B$16)</f>
        <v/>
      </c>
      <c r="G24" s="6">
        <f>F24*$B$17</f>
        <v/>
      </c>
      <c r="H24" s="6">
        <f>G24*(1+$B$18)</f>
        <v/>
      </c>
      <c r="I24" s="26" t="n">
        <v>38000</v>
      </c>
      <c r="J24" s="7">
        <f>(H24-I24)/I24</f>
        <v/>
      </c>
    </row>
    <row r="25">
      <c r="A25" s="4" t="inlineStr">
        <is>
          <t>Windstorm</t>
        </is>
      </c>
      <c r="B25" s="26" t="n">
        <v>3800000</v>
      </c>
      <c r="C25" s="36">
        <f>$B$9</f>
        <v/>
      </c>
      <c r="D25" s="6">
        <f>B25*C25</f>
        <v/>
      </c>
      <c r="E25" s="6">
        <f>D25*$B$14</f>
        <v/>
      </c>
      <c r="F25" s="6">
        <f>E25*(1+$B$15+$B$16)</f>
        <v/>
      </c>
      <c r="G25" s="6">
        <f>F25*$B$17</f>
        <v/>
      </c>
      <c r="H25" s="6">
        <f>G25*(1+$B$18)</f>
        <v/>
      </c>
      <c r="I25" s="26" t="n">
        <v>16500</v>
      </c>
      <c r="J25" s="7">
        <f>(H25-I25)/I25</f>
        <v/>
      </c>
    </row>
    <row r="26">
      <c r="A26" s="4" t="inlineStr">
        <is>
          <t>Contamination/Recall</t>
        </is>
      </c>
      <c r="B26" s="26" t="n">
        <v>3500000</v>
      </c>
      <c r="C26" s="36">
        <f>$B$10</f>
        <v/>
      </c>
      <c r="D26" s="6">
        <f>B26*C26</f>
        <v/>
      </c>
      <c r="E26" s="6">
        <f>D26*$B$14</f>
        <v/>
      </c>
      <c r="F26" s="6">
        <f>E26*(1+$B$15+$B$16)</f>
        <v/>
      </c>
      <c r="G26" s="6">
        <f>F26*$B$17</f>
        <v/>
      </c>
      <c r="H26" s="6">
        <f>G26*(1+$B$18)</f>
        <v/>
      </c>
      <c r="I26" s="26" t="n">
        <v>22000</v>
      </c>
      <c r="J26" s="7">
        <f>(H26-I26)/I26</f>
        <v/>
      </c>
    </row>
    <row r="27">
      <c r="A27" s="4" t="inlineStr">
        <is>
          <t>Product Liability</t>
        </is>
      </c>
      <c r="B27" s="26" t="n">
        <v>3000000</v>
      </c>
      <c r="C27" s="36">
        <f>$B$11</f>
        <v/>
      </c>
      <c r="D27" s="6">
        <f>B27*C27</f>
        <v/>
      </c>
      <c r="E27" s="6">
        <f>D27*$B$14</f>
        <v/>
      </c>
      <c r="F27" s="6">
        <f>E27*(1+$B$15+$B$16)</f>
        <v/>
      </c>
      <c r="G27" s="6">
        <f>F27*$B$17</f>
        <v/>
      </c>
      <c r="H27" s="6">
        <f>G27*(1+$B$18)</f>
        <v/>
      </c>
      <c r="I27" s="26" t="n">
        <v>12500</v>
      </c>
      <c r="J27" s="7">
        <f>(H27-I27)/I27</f>
        <v/>
      </c>
    </row>
    <row r="28">
      <c r="A28" s="4" t="inlineStr">
        <is>
          <t>BI / Supply Chain</t>
        </is>
      </c>
      <c r="B28" s="26" t="n">
        <v>6700000</v>
      </c>
      <c r="C28" s="36">
        <f>$B$12</f>
        <v/>
      </c>
      <c r="D28" s="6">
        <f>B28*C28</f>
        <v/>
      </c>
      <c r="E28" s="6">
        <f>D28*$B$14</f>
        <v/>
      </c>
      <c r="F28" s="6">
        <f>E28*(1+$B$15+$B$16)</f>
        <v/>
      </c>
      <c r="G28" s="6">
        <f>F28*$B$17</f>
        <v/>
      </c>
      <c r="H28" s="6">
        <f>G28*(1+$B$18)</f>
        <v/>
      </c>
      <c r="I28" s="26" t="n">
        <v>24000</v>
      </c>
      <c r="J28" s="7">
        <f>(H28-I28)/I28</f>
        <v/>
      </c>
    </row>
    <row r="29">
      <c r="A29" s="4" t="inlineStr">
        <is>
          <t>Agri / Water</t>
        </is>
      </c>
      <c r="B29" s="26" t="n">
        <v>2700000</v>
      </c>
      <c r="C29" s="36">
        <f>$B$13</f>
        <v/>
      </c>
      <c r="D29" s="6">
        <f>B29*C29</f>
        <v/>
      </c>
      <c r="E29" s="6">
        <f>D29*$B$14</f>
        <v/>
      </c>
      <c r="F29" s="6">
        <f>E29*(1+$B$15+$B$16)</f>
        <v/>
      </c>
      <c r="G29" s="6">
        <f>F29*$B$17</f>
        <v/>
      </c>
      <c r="H29" s="6">
        <f>G29*(1+$B$18)</f>
        <v/>
      </c>
      <c r="I29" s="26" t="n">
        <v>28000</v>
      </c>
      <c r="J29" s="7">
        <f>(H29-I29)/I29</f>
        <v/>
      </c>
    </row>
    <row r="30">
      <c r="A30" s="8" t="inlineStr">
        <is>
          <t>TOTAL</t>
        </is>
      </c>
      <c r="B30" s="9">
        <f>SUM(B23:B29)</f>
        <v/>
      </c>
      <c r="D30" s="9">
        <f>SUM(D23:D29)</f>
        <v/>
      </c>
      <c r="E30" s="9">
        <f>SUM(E23:E29)</f>
        <v/>
      </c>
      <c r="F30" s="9">
        <f>SUM(F23:F29)</f>
        <v/>
      </c>
      <c r="G30" s="9">
        <f>SUM(G23:G29)</f>
        <v/>
      </c>
      <c r="H30" s="9">
        <f>SUM(H23:H29)</f>
        <v/>
      </c>
      <c r="I30" s="9">
        <f>SUM(I23:I29)</f>
        <v/>
      </c>
      <c r="J30" s="24">
        <f>(H30-I30)/I30</f>
        <v/>
      </c>
    </row>
  </sheetData>
  <mergeCells count="4">
    <mergeCell ref="A4:C4"/>
    <mergeCell ref="A1:J1"/>
    <mergeCell ref="A21:J2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2026-02-19T14:49:23Z</dcterms:created>
  <dcterms:modified xmlns:dcterms="http://purl.org/dc/terms/" xmlns:xsi="http://www.w3.org/2001/XMLSchema-instance" xsi:type="dcterms:W3CDTF">2026-02-19T14:49:24Z</dcterms:modified>
</cp:coreProperties>
</file>