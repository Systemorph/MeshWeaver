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 BDX" sheetId="1" state="visible" r:id="rId1"/>
    <sheet xmlns:r="http://schemas.openxmlformats.org/officeDocument/2006/relationships" name="Claims BDX" sheetId="2" state="visible" r:id="rId2"/>
    <sheet xmlns:r="http://schemas.openxmlformats.org/officeDocument/2006/relationships" name="Schedule of Values" sheetId="3" state="visible" r:id="rId3"/>
    <sheet xmlns:r="http://schemas.openxmlformats.org/officeDocument/2006/relationships" name="Loss Triangle" sheetId="4" state="visible" r:id="rId4"/>
    <sheet xmlns:r="http://schemas.openxmlformats.org/officeDocument/2006/relationships" name="Risk Register" sheetId="5" state="visible" r:id="rId5"/>
    <sheet xmlns:r="http://schemas.openxmlformats.org/officeDocument/2006/relationships" name="Loss Ratio" sheetId="6" state="visible" r:id="rId6"/>
    <sheet xmlns:r="http://schemas.openxmlformats.org/officeDocument/2006/relationships" name="Reserving" sheetId="7" state="visible" r:id="rId7"/>
    <sheet xmlns:r="http://schemas.openxmlformats.org/officeDocument/2006/relationships" name="Profitability" sheetId="8" state="visible" r:id="rId8"/>
    <sheet xmlns:r="http://schemas.openxmlformats.org/officeDocument/2006/relationships" name="Premium Rat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$#,##0"/>
    <numFmt numFmtId="167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375623"/>
      <sz val="14"/>
    </font>
    <font>
      <name val="Calibri"/>
      <i val="1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color rgb="00375623"/>
      <sz val="12"/>
    </font>
    <font>
      <name val="Calibri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C7CE"/>
      </patternFill>
    </fill>
    <fill>
      <patternFill patternType="solid">
        <fgColor rgb="00FCD5B4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  <border>
      <left style="thin">
        <color rgb="00A0A0A0"/>
      </left>
      <right style="thin">
        <color rgb="00A0A0A0"/>
      </right>
      <top style="double"/>
      <bottom style="thin">
        <color rgb="00A0A0A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0" fontId="5" fillId="0" borderId="0" pivotButton="0" quotePrefix="0" xfId="0"/>
    <xf numFmtId="166" fontId="5" fillId="0" borderId="2" pivotButton="0" quotePrefix="0" xfId="0"/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6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1" fontId="5" fillId="0" borderId="1" pivotButton="0" quotePrefix="0" xfId="0"/>
    <xf numFmtId="166" fontId="4" fillId="5" borderId="1" applyAlignment="1" pivotButton="0" quotePrefix="0" xfId="0">
      <alignment horizontal="center"/>
    </xf>
    <xf numFmtId="0" fontId="4" fillId="0" borderId="1" applyAlignment="1" pivotButton="0" quotePrefix="0" xfId="0">
      <alignment wrapText="1"/>
    </xf>
    <xf numFmtId="0" fontId="4" fillId="6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167" fontId="5" fillId="0" borderId="2" pivotButton="0" quotePrefix="0" xfId="0"/>
    <xf numFmtId="0" fontId="7" fillId="0" borderId="0" pivotButton="0" quotePrefix="0" xfId="0"/>
    <xf numFmtId="166" fontId="8" fillId="7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6" fontId="0" fillId="0" borderId="1" applyAlignment="1" pivotButton="0" quotePrefix="0" xfId="0">
      <alignment horizontal="center"/>
    </xf>
    <xf numFmtId="166" fontId="5" fillId="0" borderId="1" pivotButton="0" quotePrefix="0" xfId="0"/>
    <xf numFmtId="167" fontId="8" fillId="7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166" fontId="5" fillId="0" borderId="2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10" fontId="8" fillId="7" borderId="1" pivotButton="0" quotePrefix="0" xfId="0"/>
    <xf numFmtId="2" fontId="8" fillId="7" borderId="1" pivotButton="0" quotePrefix="0" xfId="0"/>
    <xf numFmtId="167" fontId="8" fillId="7" borderId="1" pivotButton="0" quotePrefix="0" xfId="0"/>
    <xf numFmtId="1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6" customWidth="1" min="4" max="4"/>
    <col width="20" customWidth="1" min="5" max="5"/>
    <col width="16" customWidth="1" min="6" max="6"/>
    <col width="16" customWidth="1" min="7" max="7"/>
    <col width="30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PREMIUM BORDEREAU — BU2 INDUSTRIAL &amp; SPECIALTY — Q4 2025</t>
        </is>
      </c>
    </row>
    <row r="2">
      <c r="A2" s="2" t="inlineStr">
        <is>
          <t>Cedant: Zurich Insurance Group  |  Reinsurer: Munich Re  |  Contract Ref: MR-IND-2025-TSLA-QS  |  Period: 01/10/2025 – 31/12/2025</t>
        </is>
      </c>
    </row>
    <row r="4">
      <c r="A4" s="3" t="inlineStr">
        <is>
          <t>Ref.No</t>
        </is>
      </c>
      <c r="B4" s="3" t="inlineStr">
        <is>
          <t>Cedant Reference</t>
        </is>
      </c>
      <c r="C4" s="3" t="inlineStr">
        <is>
          <t>Insured Party</t>
        </is>
      </c>
      <c r="D4" s="3" t="inlineStr">
        <is>
          <t>Class of Business</t>
        </is>
      </c>
      <c r="E4" s="3" t="inlineStr">
        <is>
          <t>Sub-Class</t>
        </is>
      </c>
      <c r="F4" s="3" t="inlineStr">
        <is>
          <t>Risk Inception</t>
        </is>
      </c>
      <c r="G4" s="3" t="inlineStr">
        <is>
          <t>Risk Expiry</t>
        </is>
      </c>
      <c r="H4" s="3" t="inlineStr">
        <is>
          <t>Risk Location</t>
        </is>
      </c>
      <c r="I4" s="3" t="inlineStr">
        <is>
          <t>Ccy</t>
        </is>
      </c>
      <c r="J4" s="3" t="inlineStr">
        <is>
          <t>TSI (000s)</t>
        </is>
      </c>
      <c r="K4" s="3" t="inlineStr">
        <is>
          <t>Gross Prem (000s)</t>
        </is>
      </c>
      <c r="L4" s="3" t="inlineStr">
        <is>
          <t>QS Share %</t>
        </is>
      </c>
      <c r="M4" s="3" t="inlineStr">
        <is>
          <t>Ceded Prem (000s)</t>
        </is>
      </c>
      <c r="N4" s="3" t="inlineStr">
        <is>
          <t>Producing Broker</t>
        </is>
      </c>
      <c r="O4" s="3" t="inlineStr">
        <is>
          <t>Risk Status</t>
        </is>
      </c>
    </row>
    <row r="5">
      <c r="A5" s="4" t="inlineStr">
        <is>
          <t>IND-TL-001</t>
        </is>
      </c>
      <c r="B5" s="4" t="inlineStr">
        <is>
          <t>ZIG-TL-440012</t>
        </is>
      </c>
      <c r="C5" s="4" t="inlineStr">
        <is>
          <t>Tesla Inc.</t>
        </is>
      </c>
      <c r="D5" s="4" t="inlineStr">
        <is>
          <t>PROP</t>
        </is>
      </c>
      <c r="E5" s="4" t="inlineStr">
        <is>
          <t>MFG-HEAVY</t>
        </is>
      </c>
      <c r="F5" s="5" t="n">
        <v>45658</v>
      </c>
      <c r="G5" s="5" t="n">
        <v>46022</v>
      </c>
      <c r="H5" s="4" t="inlineStr">
        <is>
          <t>Fremont, CA, US</t>
        </is>
      </c>
      <c r="I5" s="4" t="inlineStr">
        <is>
          <t>USD</t>
        </is>
      </c>
      <c r="J5" s="6" t="n">
        <v>2800000</v>
      </c>
      <c r="K5" s="6" t="n">
        <v>28537</v>
      </c>
      <c r="L5" s="7" t="n">
        <v>0.3</v>
      </c>
      <c r="M5" s="6">
        <f>K5*L5</f>
        <v/>
      </c>
      <c r="N5" s="4" t="inlineStr">
        <is>
          <t>Guy Carpenter</t>
        </is>
      </c>
      <c r="O5" s="4" t="inlineStr">
        <is>
          <t>ACTIVE</t>
        </is>
      </c>
    </row>
    <row r="6">
      <c r="A6" s="4" t="inlineStr">
        <is>
          <t>IND-TL-002</t>
        </is>
      </c>
      <c r="B6" s="4" t="inlineStr">
        <is>
          <t>ZIG-TL-440013</t>
        </is>
      </c>
      <c r="C6" s="4" t="inlineStr">
        <is>
          <t>Tesla Inc.</t>
        </is>
      </c>
      <c r="D6" s="4" t="inlineStr">
        <is>
          <t>PROP</t>
        </is>
      </c>
      <c r="E6" s="4" t="inlineStr">
        <is>
          <t>MFG-HEAVY</t>
        </is>
      </c>
      <c r="F6" s="5" t="n">
        <v>45658</v>
      </c>
      <c r="G6" s="5" t="n">
        <v>46022</v>
      </c>
      <c r="H6" s="4" t="inlineStr">
        <is>
          <t>Austin, TX, US (Gigafactory)</t>
        </is>
      </c>
      <c r="I6" s="4" t="inlineStr">
        <is>
          <t>USD</t>
        </is>
      </c>
      <c r="J6" s="6" t="n">
        <v>4500000</v>
      </c>
      <c r="K6" s="6" t="n">
        <v>26699</v>
      </c>
      <c r="L6" s="7" t="n">
        <v>0.3</v>
      </c>
      <c r="M6" s="6">
        <f>K6*L6</f>
        <v/>
      </c>
      <c r="N6" s="4" t="inlineStr">
        <is>
          <t>Guy Carpenter</t>
        </is>
      </c>
      <c r="O6" s="4" t="inlineStr">
        <is>
          <t>ACTIVE</t>
        </is>
      </c>
    </row>
    <row r="7">
      <c r="A7" s="4" t="inlineStr">
        <is>
          <t>IND-TL-003</t>
        </is>
      </c>
      <c r="B7" s="4" t="inlineStr">
        <is>
          <t>ZIG-TL-440014</t>
        </is>
      </c>
      <c r="C7" s="4" t="inlineStr">
        <is>
          <t>Tesla Inc.</t>
        </is>
      </c>
      <c r="D7" s="4" t="inlineStr">
        <is>
          <t>PROP</t>
        </is>
      </c>
      <c r="E7" s="4" t="inlineStr">
        <is>
          <t>MFG-HEAVY</t>
        </is>
      </c>
      <c r="F7" s="5" t="n">
        <v>45748</v>
      </c>
      <c r="G7" s="5" t="n">
        <v>46112</v>
      </c>
      <c r="H7" s="4" t="inlineStr">
        <is>
          <t>Sparks, NV, US (Gigafactory)</t>
        </is>
      </c>
      <c r="I7" s="4" t="inlineStr">
        <is>
          <t>USD</t>
        </is>
      </c>
      <c r="J7" s="6" t="n">
        <v>3200000</v>
      </c>
      <c r="K7" s="6" t="n">
        <v>16526</v>
      </c>
      <c r="L7" s="7" t="n">
        <v>0.35</v>
      </c>
      <c r="M7" s="6">
        <f>K7*L7</f>
        <v/>
      </c>
      <c r="N7" s="4" t="inlineStr">
        <is>
          <t>Aon</t>
        </is>
      </c>
      <c r="O7" s="4" t="inlineStr">
        <is>
          <t>ACTIVE</t>
        </is>
      </c>
    </row>
    <row r="8">
      <c r="A8" s="4" t="inlineStr">
        <is>
          <t>IND-TL-004</t>
        </is>
      </c>
      <c r="B8" s="4" t="inlineStr">
        <is>
          <t>ZIG-TL-440015</t>
        </is>
      </c>
      <c r="C8" s="4" t="inlineStr">
        <is>
          <t>Tesla Inc.</t>
        </is>
      </c>
      <c r="D8" s="4" t="inlineStr">
        <is>
          <t>PROP</t>
        </is>
      </c>
      <c r="E8" s="4" t="inlineStr">
        <is>
          <t>MFG-AUTO</t>
        </is>
      </c>
      <c r="F8" s="5" t="n">
        <v>45748</v>
      </c>
      <c r="G8" s="5" t="n">
        <v>46112</v>
      </c>
      <c r="H8" s="4" t="inlineStr">
        <is>
          <t>Grünheide, Brandenburg, DE</t>
        </is>
      </c>
      <c r="I8" s="4" t="inlineStr">
        <is>
          <t>USD</t>
        </is>
      </c>
      <c r="J8" s="6" t="n">
        <v>3800000</v>
      </c>
      <c r="K8" s="6" t="n">
        <v>39531</v>
      </c>
      <c r="L8" s="7" t="n">
        <v>0.35</v>
      </c>
      <c r="M8" s="6">
        <f>K8*L8</f>
        <v/>
      </c>
      <c r="N8" s="4" t="inlineStr">
        <is>
          <t>Aon</t>
        </is>
      </c>
      <c r="O8" s="4" t="inlineStr">
        <is>
          <t>ACTIVE</t>
        </is>
      </c>
    </row>
    <row r="9">
      <c r="A9" s="4" t="inlineStr">
        <is>
          <t>IND-TL-005</t>
        </is>
      </c>
      <c r="B9" s="4" t="inlineStr">
        <is>
          <t>ZIG-TL-440016</t>
        </is>
      </c>
      <c r="C9" s="4" t="inlineStr">
        <is>
          <t>Tesla Inc.</t>
        </is>
      </c>
      <c r="D9" s="4" t="inlineStr">
        <is>
          <t>PROP</t>
        </is>
      </c>
      <c r="E9" s="4" t="inlineStr">
        <is>
          <t>MFG-BATTERY</t>
        </is>
      </c>
      <c r="F9" s="5" t="n">
        <v>45839</v>
      </c>
      <c r="G9" s="5" t="n">
        <v>46203</v>
      </c>
      <c r="H9" s="4" t="inlineStr">
        <is>
          <t>Shanghai, CN</t>
        </is>
      </c>
      <c r="I9" s="4" t="inlineStr">
        <is>
          <t>USD</t>
        </is>
      </c>
      <c r="J9" s="6" t="n">
        <v>5100000</v>
      </c>
      <c r="K9" s="6" t="n">
        <v>20581</v>
      </c>
      <c r="L9" s="7" t="n">
        <v>0.25</v>
      </c>
      <c r="M9" s="6">
        <f>K9*L9</f>
        <v/>
      </c>
      <c r="N9" s="4" t="inlineStr">
        <is>
          <t>Marsh</t>
        </is>
      </c>
      <c r="O9" s="4" t="inlineStr">
        <is>
          <t>ACTIVE</t>
        </is>
      </c>
    </row>
    <row r="10">
      <c r="A10" s="4" t="inlineStr">
        <is>
          <t>IND-TL-006</t>
        </is>
      </c>
      <c r="B10" s="4" t="inlineStr">
        <is>
          <t>ZIG-TL-440017</t>
        </is>
      </c>
      <c r="C10" s="4" t="inlineStr">
        <is>
          <t>Tesla Inc.</t>
        </is>
      </c>
      <c r="D10" s="4" t="inlineStr">
        <is>
          <t>EQ</t>
        </is>
      </c>
      <c r="E10" s="4" t="inlineStr">
        <is>
          <t>QUAKE-CA</t>
        </is>
      </c>
      <c r="F10" s="5" t="n">
        <v>45658</v>
      </c>
      <c r="G10" s="5" t="n">
        <v>46022</v>
      </c>
      <c r="H10" s="4" t="inlineStr">
        <is>
          <t>Fremont, CA, US</t>
        </is>
      </c>
      <c r="I10" s="4" t="inlineStr">
        <is>
          <t>USD</t>
        </is>
      </c>
      <c r="J10" s="6" t="n">
        <v>2800000</v>
      </c>
      <c r="K10" s="6" t="n">
        <v>20401</v>
      </c>
      <c r="L10" s="7" t="n">
        <v>0.4</v>
      </c>
      <c r="M10" s="6">
        <f>K10*L10</f>
        <v/>
      </c>
      <c r="N10" s="4" t="inlineStr">
        <is>
          <t>Guy Carpenter</t>
        </is>
      </c>
      <c r="O10" s="4" t="inlineStr">
        <is>
          <t>ACTIVE</t>
        </is>
      </c>
    </row>
    <row r="11">
      <c r="A11" s="4" t="inlineStr">
        <is>
          <t>IND-TL-007</t>
        </is>
      </c>
      <c r="B11" s="4" t="inlineStr">
        <is>
          <t>ZIG-TL-440018</t>
        </is>
      </c>
      <c r="C11" s="4" t="inlineStr">
        <is>
          <t>Tesla Inc.</t>
        </is>
      </c>
      <c r="D11" s="4" t="inlineStr">
        <is>
          <t>EQ</t>
        </is>
      </c>
      <c r="E11" s="4" t="inlineStr">
        <is>
          <t>QUAKE-CA</t>
        </is>
      </c>
      <c r="F11" s="5" t="n">
        <v>45658</v>
      </c>
      <c r="G11" s="5" t="n">
        <v>46022</v>
      </c>
      <c r="H11" s="4" t="inlineStr">
        <is>
          <t>Palo Alto, CA, US (HQ)</t>
        </is>
      </c>
      <c r="I11" s="4" t="inlineStr">
        <is>
          <t>USD</t>
        </is>
      </c>
      <c r="J11" s="6" t="n">
        <v>850000</v>
      </c>
      <c r="K11" s="6" t="n">
        <v>6817</v>
      </c>
      <c r="L11" s="7" t="n">
        <v>0.4</v>
      </c>
      <c r="M11" s="6">
        <f>K11*L11</f>
        <v/>
      </c>
      <c r="N11" s="4" t="inlineStr">
        <is>
          <t>Guy Carpenter</t>
        </is>
      </c>
      <c r="O11" s="4" t="inlineStr">
        <is>
          <t>ACTIVE</t>
        </is>
      </c>
    </row>
    <row r="12">
      <c r="A12" s="4" t="inlineStr">
        <is>
          <t>IND-TL-008</t>
        </is>
      </c>
      <c r="B12" s="4" t="inlineStr">
        <is>
          <t>ZIG-TL-440019</t>
        </is>
      </c>
      <c r="C12" s="4" t="inlineStr">
        <is>
          <t>Tesla Inc.</t>
        </is>
      </c>
      <c r="D12" s="4" t="inlineStr">
        <is>
          <t>FFEQ</t>
        </is>
      </c>
      <c r="E12" s="4" t="inlineStr">
        <is>
          <t>FIRE-FOLLOW-EQ</t>
        </is>
      </c>
      <c r="F12" s="5" t="n">
        <v>45658</v>
      </c>
      <c r="G12" s="5" t="n">
        <v>46022</v>
      </c>
      <c r="H12" s="4" t="inlineStr">
        <is>
          <t>Fremont, CA, US</t>
        </is>
      </c>
      <c r="I12" s="4" t="inlineStr">
        <is>
          <t>USD</t>
        </is>
      </c>
      <c r="J12" s="6" t="n">
        <v>2800000</v>
      </c>
      <c r="K12" s="6" t="n">
        <v>23805</v>
      </c>
      <c r="L12" s="7" t="n">
        <v>0.4</v>
      </c>
      <c r="M12" s="6">
        <f>K12*L12</f>
        <v/>
      </c>
      <c r="N12" s="4" t="inlineStr">
        <is>
          <t>Guy Carpenter</t>
        </is>
      </c>
      <c r="O12" s="4" t="inlineStr">
        <is>
          <t>ACTIVE</t>
        </is>
      </c>
    </row>
    <row r="13">
      <c r="A13" s="4" t="inlineStr">
        <is>
          <t>IND-TL-009</t>
        </is>
      </c>
      <c r="B13" s="4" t="inlineStr">
        <is>
          <t>ZIG-TL-440020</t>
        </is>
      </c>
      <c r="C13" s="4" t="inlineStr">
        <is>
          <t>Tesla Inc.</t>
        </is>
      </c>
      <c r="D13" s="4" t="inlineStr">
        <is>
          <t>NATCAT-W</t>
        </is>
      </c>
      <c r="E13" s="4" t="inlineStr">
        <is>
          <t>WINDSTORM</t>
        </is>
      </c>
      <c r="F13" s="5" t="n">
        <v>45658</v>
      </c>
      <c r="G13" s="5" t="n">
        <v>46022</v>
      </c>
      <c r="H13" s="4" t="inlineStr">
        <is>
          <t>Austin, TX, US (Gigafactory)</t>
        </is>
      </c>
      <c r="I13" s="4" t="inlineStr">
        <is>
          <t>USD</t>
        </is>
      </c>
      <c r="J13" s="6" t="n">
        <v>4500000</v>
      </c>
      <c r="K13" s="6" t="n">
        <v>19391</v>
      </c>
      <c r="L13" s="7" t="n">
        <v>0.3</v>
      </c>
      <c r="M13" s="6">
        <f>K13*L13</f>
        <v/>
      </c>
      <c r="N13" s="4" t="inlineStr">
        <is>
          <t>Guy Carpenter</t>
        </is>
      </c>
      <c r="O13" s="4" t="inlineStr">
        <is>
          <t>ACTIVE</t>
        </is>
      </c>
    </row>
    <row r="14">
      <c r="A14" s="4" t="inlineStr">
        <is>
          <t>IND-TL-010</t>
        </is>
      </c>
      <c r="B14" s="4" t="inlineStr">
        <is>
          <t>ZIG-TL-440021</t>
        </is>
      </c>
      <c r="C14" s="4" t="inlineStr">
        <is>
          <t>Tesla Inc.</t>
        </is>
      </c>
      <c r="D14" s="4" t="inlineStr">
        <is>
          <t>PRODLIAB</t>
        </is>
      </c>
      <c r="E14" s="4" t="inlineStr">
        <is>
          <t>AUTO-RECALL</t>
        </is>
      </c>
      <c r="F14" s="5" t="n">
        <v>45658</v>
      </c>
      <c r="G14" s="5" t="n">
        <v>46022</v>
      </c>
      <c r="H14" s="4" t="inlineStr">
        <is>
          <t>Global</t>
        </is>
      </c>
      <c r="I14" s="4" t="inlineStr">
        <is>
          <t>USD</t>
        </is>
      </c>
      <c r="J14" s="6" t="n">
        <v>1500000</v>
      </c>
      <c r="K14" s="6" t="n">
        <v>13013</v>
      </c>
      <c r="L14" s="7" t="n">
        <v>0.5</v>
      </c>
      <c r="M14" s="6">
        <f>K14*L14</f>
        <v/>
      </c>
      <c r="N14" s="4" t="inlineStr">
        <is>
          <t>Willis</t>
        </is>
      </c>
      <c r="O14" s="4" t="inlineStr">
        <is>
          <t>ACTIVE</t>
        </is>
      </c>
    </row>
    <row r="15">
      <c r="A15" s="4" t="inlineStr">
        <is>
          <t>IND-TL-011</t>
        </is>
      </c>
      <c r="B15" s="4" t="inlineStr">
        <is>
          <t>ZIG-TL-440022</t>
        </is>
      </c>
      <c r="C15" s="4" t="inlineStr">
        <is>
          <t>Tesla Inc.</t>
        </is>
      </c>
      <c r="D15" s="4" t="inlineStr">
        <is>
          <t>PRODLIAB</t>
        </is>
      </c>
      <c r="E15" s="4" t="inlineStr">
        <is>
          <t>BATTERY-DEFECT</t>
        </is>
      </c>
      <c r="F15" s="5" t="n">
        <v>45658</v>
      </c>
      <c r="G15" s="5" t="n">
        <v>46022</v>
      </c>
      <c r="H15" s="4" t="inlineStr">
        <is>
          <t>Global</t>
        </is>
      </c>
      <c r="I15" s="4" t="inlineStr">
        <is>
          <t>USD</t>
        </is>
      </c>
      <c r="J15" s="6" t="n">
        <v>2000000</v>
      </c>
      <c r="K15" s="6" t="n">
        <v>15011</v>
      </c>
      <c r="L15" s="7" t="n">
        <v>0.5</v>
      </c>
      <c r="M15" s="6">
        <f>K15*L15</f>
        <v/>
      </c>
      <c r="N15" s="4" t="inlineStr">
        <is>
          <t>Willis</t>
        </is>
      </c>
      <c r="O15" s="4" t="inlineStr">
        <is>
          <t>ACTIVE</t>
        </is>
      </c>
    </row>
    <row r="16">
      <c r="A16" s="4" t="inlineStr">
        <is>
          <t>IND-TL-012</t>
        </is>
      </c>
      <c r="B16" s="4" t="inlineStr">
        <is>
          <t>ZIG-TL-440023</t>
        </is>
      </c>
      <c r="C16" s="4" t="inlineStr">
        <is>
          <t>Tesla Inc.</t>
        </is>
      </c>
      <c r="D16" s="4" t="inlineStr">
        <is>
          <t>PRODLIAB</t>
        </is>
      </c>
      <c r="E16" s="4" t="inlineStr">
        <is>
          <t>AUTOPILOT-LIAB</t>
        </is>
      </c>
      <c r="F16" s="5" t="n">
        <v>45839</v>
      </c>
      <c r="G16" s="5" t="n">
        <v>46203</v>
      </c>
      <c r="H16" s="4" t="inlineStr">
        <is>
          <t>US &amp; EU</t>
        </is>
      </c>
      <c r="I16" s="4" t="inlineStr">
        <is>
          <t>USD</t>
        </is>
      </c>
      <c r="J16" s="6" t="n">
        <v>3000000</v>
      </c>
      <c r="K16" s="6" t="n">
        <v>31980</v>
      </c>
      <c r="L16" s="7" t="n">
        <v>0.45</v>
      </c>
      <c r="M16" s="6">
        <f>K16*L16</f>
        <v/>
      </c>
      <c r="N16" s="4" t="inlineStr">
        <is>
          <t>Willis</t>
        </is>
      </c>
      <c r="O16" s="4" t="inlineStr">
        <is>
          <t>ACTIVE</t>
        </is>
      </c>
    </row>
    <row r="17">
      <c r="A17" s="4" t="inlineStr">
        <is>
          <t>IND-TL-013</t>
        </is>
      </c>
      <c r="B17" s="4" t="inlineStr">
        <is>
          <t>ZIG-TL-440024</t>
        </is>
      </c>
      <c r="C17" s="4" t="inlineStr">
        <is>
          <t>Tesla Inc.</t>
        </is>
      </c>
      <c r="D17" s="4" t="inlineStr">
        <is>
          <t>BI</t>
        </is>
      </c>
      <c r="E17" s="4" t="inlineStr">
        <is>
          <t>SUPPLY-CHAIN</t>
        </is>
      </c>
      <c r="F17" s="5" t="n">
        <v>45658</v>
      </c>
      <c r="G17" s="5" t="n">
        <v>46022</v>
      </c>
      <c r="H17" s="4" t="inlineStr">
        <is>
          <t>Global</t>
        </is>
      </c>
      <c r="I17" s="4" t="inlineStr">
        <is>
          <t>USD</t>
        </is>
      </c>
      <c r="J17" s="6" t="n">
        <v>6000000</v>
      </c>
      <c r="K17" s="6" t="n">
        <v>19530</v>
      </c>
      <c r="L17" s="7" t="n">
        <v>0.3</v>
      </c>
      <c r="M17" s="6">
        <f>K17*L17</f>
        <v/>
      </c>
      <c r="N17" s="4" t="inlineStr">
        <is>
          <t>Aon</t>
        </is>
      </c>
      <c r="O17" s="4" t="inlineStr">
        <is>
          <t>ACTIVE</t>
        </is>
      </c>
    </row>
    <row r="18">
      <c r="A18" s="4" t="inlineStr">
        <is>
          <t>IND-TL-014</t>
        </is>
      </c>
      <c r="B18" s="4" t="inlineStr">
        <is>
          <t>ZIG-TL-440025</t>
        </is>
      </c>
      <c r="C18" s="4" t="inlineStr">
        <is>
          <t>Tesla Inc.</t>
        </is>
      </c>
      <c r="D18" s="4" t="inlineStr">
        <is>
          <t>BI</t>
        </is>
      </c>
      <c r="E18" s="4" t="inlineStr">
        <is>
          <t>CONTINGENT-BI</t>
        </is>
      </c>
      <c r="F18" s="5" t="n">
        <v>45658</v>
      </c>
      <c r="G18" s="5" t="n">
        <v>46022</v>
      </c>
      <c r="H18" s="4" t="inlineStr">
        <is>
          <t>Global — Tier 1 Suppliers</t>
        </is>
      </c>
      <c r="I18" s="4" t="inlineStr">
        <is>
          <t>USD</t>
        </is>
      </c>
      <c r="J18" s="6" t="n">
        <v>2500000</v>
      </c>
      <c r="K18" s="6" t="n">
        <v>29036</v>
      </c>
      <c r="L18" s="7" t="n">
        <v>0.3</v>
      </c>
      <c r="M18" s="6">
        <f>K18*L18</f>
        <v/>
      </c>
      <c r="N18" s="4" t="inlineStr">
        <is>
          <t>Aon</t>
        </is>
      </c>
      <c r="O18" s="4" t="inlineStr">
        <is>
          <t>ACTIVE</t>
        </is>
      </c>
    </row>
    <row r="19">
      <c r="A19" s="4" t="inlineStr">
        <is>
          <t>IND-TL-015</t>
        </is>
      </c>
      <c r="B19" s="4" t="inlineStr">
        <is>
          <t>ZIG-TL-440026</t>
        </is>
      </c>
      <c r="C19" s="4" t="inlineStr">
        <is>
          <t>Tesla Inc.</t>
        </is>
      </c>
      <c r="D19" s="4" t="inlineStr">
        <is>
          <t>FIRE</t>
        </is>
      </c>
      <c r="E19" s="4" t="inlineStr">
        <is>
          <t>INDUSTRIAL-FIRE</t>
        </is>
      </c>
      <c r="F19" s="5" t="n">
        <v>45658</v>
      </c>
      <c r="G19" s="5" t="n">
        <v>46022</v>
      </c>
      <c r="H19" s="4" t="inlineStr">
        <is>
          <t>All Manufacturing Sites</t>
        </is>
      </c>
      <c r="I19" s="4" t="inlineStr">
        <is>
          <t>USD</t>
        </is>
      </c>
      <c r="J19" s="6" t="n">
        <v>18300000</v>
      </c>
      <c r="K19" s="6" t="n">
        <v>83340</v>
      </c>
      <c r="L19" s="7" t="n">
        <v>0.35</v>
      </c>
      <c r="M19" s="6">
        <f>K19*L19</f>
        <v/>
      </c>
      <c r="N19" s="4" t="inlineStr">
        <is>
          <t>Guy Carpenter</t>
        </is>
      </c>
      <c r="O19" s="4" t="inlineStr">
        <is>
          <t>ACTIVE</t>
        </is>
      </c>
    </row>
    <row r="20">
      <c r="A20" s="4" t="inlineStr">
        <is>
          <t>IND-TL-016</t>
        </is>
      </c>
      <c r="B20" s="4" t="inlineStr">
        <is>
          <t>ZIG-TL-440027</t>
        </is>
      </c>
      <c r="C20" s="4" t="inlineStr">
        <is>
          <t>Tesla Inc.</t>
        </is>
      </c>
      <c r="D20" s="4" t="inlineStr">
        <is>
          <t>ENVIRO</t>
        </is>
      </c>
      <c r="E20" s="4" t="inlineStr">
        <is>
          <t>POLLUTION-LIAB</t>
        </is>
      </c>
      <c r="F20" s="5" t="n">
        <v>45839</v>
      </c>
      <c r="G20" s="5" t="n">
        <v>46203</v>
      </c>
      <c r="H20" s="4" t="inlineStr">
        <is>
          <t>All Manufacturing Sites</t>
        </is>
      </c>
      <c r="I20" s="4" t="inlineStr">
        <is>
          <t>USD</t>
        </is>
      </c>
      <c r="J20" s="6" t="n">
        <v>800000</v>
      </c>
      <c r="K20" s="6" t="n">
        <v>8256</v>
      </c>
      <c r="L20" s="7" t="n">
        <v>0.25</v>
      </c>
      <c r="M20" s="6">
        <f>K20*L20</f>
        <v/>
      </c>
      <c r="N20" s="4" t="inlineStr">
        <is>
          <t>Marsh</t>
        </is>
      </c>
      <c r="O20" s="4" t="inlineStr">
        <is>
          <t>ACTIVE</t>
        </is>
      </c>
    </row>
    <row r="21">
      <c r="A21" s="4" t="inlineStr">
        <is>
          <t>IND-TL-017</t>
        </is>
      </c>
      <c r="B21" s="4" t="inlineStr">
        <is>
          <t>ZIG-TL-440028</t>
        </is>
      </c>
      <c r="C21" s="4" t="inlineStr">
        <is>
          <t>Tesla Inc.</t>
        </is>
      </c>
      <c r="D21" s="4" t="inlineStr">
        <is>
          <t>CYBER</t>
        </is>
      </c>
      <c r="E21" s="4" t="inlineStr">
        <is>
          <t>VEHICLE-HACK</t>
        </is>
      </c>
      <c r="F21" s="5" t="n">
        <v>45658</v>
      </c>
      <c r="G21" s="5" t="n">
        <v>46022</v>
      </c>
      <c r="H21" s="4" t="inlineStr">
        <is>
          <t>Global — Connected Vehicles</t>
        </is>
      </c>
      <c r="I21" s="4" t="inlineStr">
        <is>
          <t>USD</t>
        </is>
      </c>
      <c r="J21" s="6" t="n">
        <v>1200000</v>
      </c>
      <c r="K21" s="6" t="n">
        <v>9079</v>
      </c>
      <c r="L21" s="7" t="n">
        <v>0.5</v>
      </c>
      <c r="M21" s="6">
        <f>K21*L21</f>
        <v/>
      </c>
      <c r="N21" s="4" t="inlineStr">
        <is>
          <t>Willis</t>
        </is>
      </c>
      <c r="O21" s="4" t="inlineStr">
        <is>
          <t>ACTIVE</t>
        </is>
      </c>
    </row>
    <row r="22">
      <c r="A22" s="4" t="inlineStr">
        <is>
          <t>IND-TL-018</t>
        </is>
      </c>
      <c r="B22" s="4" t="inlineStr">
        <is>
          <t>ZIG-TL-440029</t>
        </is>
      </c>
      <c r="C22" s="4" t="inlineStr">
        <is>
          <t>Tesla Inc.</t>
        </is>
      </c>
      <c r="D22" s="4" t="inlineStr">
        <is>
          <t>WC</t>
        </is>
      </c>
      <c r="E22" s="4" t="inlineStr">
        <is>
          <t>WORKERS-COMP</t>
        </is>
      </c>
      <c r="F22" s="5" t="n">
        <v>45658</v>
      </c>
      <c r="G22" s="5" t="n">
        <v>46022</v>
      </c>
      <c r="H22" s="4" t="inlineStr">
        <is>
          <t>All US Sites</t>
        </is>
      </c>
      <c r="I22" s="4" t="inlineStr">
        <is>
          <t>USD</t>
        </is>
      </c>
      <c r="J22" s="6" t="n">
        <v>500000</v>
      </c>
      <c r="K22" s="6" t="n">
        <v>5260</v>
      </c>
      <c r="L22" s="7" t="n">
        <v>0.2</v>
      </c>
      <c r="M22" s="6">
        <f>K22*L22</f>
        <v/>
      </c>
      <c r="N22" s="4" t="inlineStr">
        <is>
          <t>Marsh</t>
        </is>
      </c>
      <c r="O22" s="4" t="inlineStr">
        <is>
          <t>ACTIVE</t>
        </is>
      </c>
    </row>
    <row r="23">
      <c r="A23" s="8" t="inlineStr">
        <is>
          <t>GRAND TOTAL</t>
        </is>
      </c>
      <c r="J23" s="9">
        <f>SUM(J5:J22)</f>
        <v/>
      </c>
      <c r="K23" s="9">
        <f>SUM(K5:K22)</f>
        <v/>
      </c>
      <c r="M23" s="9">
        <f>SUM(M5:M22)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52" customWidth="1" min="5" max="5"/>
    <col width="16" customWidth="1" min="6" max="6"/>
    <col width="16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LOSS BORDEREAU — BU2 INDUSTRIAL &amp; SPECIALTY — Q4 2025</t>
        </is>
      </c>
    </row>
    <row r="2">
      <c r="A2" s="2" t="inlineStr">
        <is>
          <t>Contract Ref: MR-IND-2025-TSLA-QS  |  Claims grouped by EVENT / OCCURRENCE  |  Status: 1=Open 2=Re-opened 3=Settled 4=Denied 5=Subrogation</t>
        </is>
      </c>
    </row>
    <row r="4">
      <c r="A4" s="3" t="inlineStr">
        <is>
          <t>Event Ref</t>
        </is>
      </c>
      <c r="B4" s="3" t="inlineStr">
        <is>
          <t>Event Type</t>
        </is>
      </c>
      <c r="C4" s="3" t="inlineStr">
        <is>
          <t>Peril Code</t>
        </is>
      </c>
      <c r="D4" s="3" t="inlineStr">
        <is>
          <t>Sub-Peril</t>
        </is>
      </c>
      <c r="E4" s="3" t="inlineStr">
        <is>
          <t>Event Description</t>
        </is>
      </c>
      <c r="F4" s="3" t="inlineStr">
        <is>
          <t>Cedant Ref</t>
        </is>
      </c>
      <c r="G4" s="3" t="inlineStr">
        <is>
          <t>Insured Party</t>
        </is>
      </c>
      <c r="H4" s="3" t="inlineStr">
        <is>
          <t>Loss Location</t>
        </is>
      </c>
      <c r="I4" s="3" t="inlineStr">
        <is>
          <t>Loss Date (DD/MM/YYYY)</t>
        </is>
      </c>
      <c r="J4" s="3" t="inlineStr">
        <is>
          <t>Notification Date</t>
        </is>
      </c>
      <c r="K4" s="3" t="inlineStr">
        <is>
          <t>Ccy</t>
        </is>
      </c>
      <c r="L4" s="3" t="inlineStr">
        <is>
          <t>Indemnity Paid (000s)</t>
        </is>
      </c>
      <c r="M4" s="3" t="inlineStr">
        <is>
          <t>Fees &amp; Expenses (000s)</t>
        </is>
      </c>
      <c r="N4" s="3" t="inlineStr">
        <is>
          <t>Outstanding Reserve (000s)</t>
        </is>
      </c>
      <c r="O4" s="3" t="inlineStr">
        <is>
          <t>IBNR Provision (000s)</t>
        </is>
      </c>
      <c r="P4" s="3" t="inlineStr">
        <is>
          <t>Gross Incurred (000s)</t>
        </is>
      </c>
      <c r="Q4" s="3" t="inlineStr">
        <is>
          <t>Claim Status Code</t>
        </is>
      </c>
      <c r="R4" s="3" t="inlineStr">
        <is>
          <t>Adjuster</t>
        </is>
      </c>
    </row>
    <row r="5">
      <c r="A5" s="10" t="inlineStr">
        <is>
          <t>EVT-2025-EQ-001</t>
        </is>
      </c>
      <c r="B5" s="10" t="inlineStr">
        <is>
          <t>NAT-CAT</t>
        </is>
      </c>
      <c r="C5" s="4" t="inlineStr">
        <is>
          <t>EQ</t>
        </is>
      </c>
      <c r="D5" s="4" t="inlineStr">
        <is>
          <t>GROUND-SHAKE</t>
        </is>
      </c>
      <c r="E5" s="4" t="inlineStr">
        <is>
          <t>M6.2 Hayward Fault Earthquake — structural damage to Fremont plant</t>
        </is>
      </c>
      <c r="F5" s="4" t="inlineStr">
        <is>
          <t>ZIG-TL-440012</t>
        </is>
      </c>
      <c r="G5" s="4" t="inlineStr">
        <is>
          <t>Tesla Inc.</t>
        </is>
      </c>
      <c r="H5" s="4" t="inlineStr">
        <is>
          <t>Fremont, CA, US</t>
        </is>
      </c>
      <c r="I5" s="5" t="n">
        <v>45952</v>
      </c>
      <c r="J5" s="5" t="n">
        <v>45952</v>
      </c>
      <c r="K5" s="4" t="inlineStr">
        <is>
          <t>USD</t>
        </is>
      </c>
      <c r="L5" s="6" t="n">
        <v>45000</v>
      </c>
      <c r="M5" s="6" t="n">
        <v>3200</v>
      </c>
      <c r="N5" s="6" t="n">
        <v>125000</v>
      </c>
      <c r="O5" s="6" t="n">
        <v>28000</v>
      </c>
      <c r="P5" s="6">
        <f>L5+M5+N5+O5</f>
        <v/>
      </c>
      <c r="Q5" s="4" t="n">
        <v>1</v>
      </c>
      <c r="R5" s="4" t="inlineStr">
        <is>
          <t>Crawford &amp; Co.</t>
        </is>
      </c>
    </row>
    <row r="6">
      <c r="A6" s="10" t="inlineStr">
        <is>
          <t>EVT-2025-EQ-001-FFEQ</t>
        </is>
      </c>
      <c r="B6" s="10" t="inlineStr">
        <is>
          <t>NAT-CAT</t>
        </is>
      </c>
      <c r="C6" s="4" t="inlineStr">
        <is>
          <t>FFEQ</t>
        </is>
      </c>
      <c r="D6" s="4" t="inlineStr">
        <is>
          <t>FIRE-FOLLOW-EQ</t>
        </is>
      </c>
      <c r="E6" s="4" t="inlineStr">
        <is>
          <t>Fire following EQ — paint shop &amp; battery assembly</t>
        </is>
      </c>
      <c r="F6" s="4" t="inlineStr">
        <is>
          <t>ZIG-TL-440019</t>
        </is>
      </c>
      <c r="G6" s="4" t="inlineStr">
        <is>
          <t>Tesla Inc.</t>
        </is>
      </c>
      <c r="H6" s="4" t="inlineStr">
        <is>
          <t>Fremont, CA, US</t>
        </is>
      </c>
      <c r="I6" s="5" t="n">
        <v>45952</v>
      </c>
      <c r="J6" s="5" t="n">
        <v>45953</v>
      </c>
      <c r="K6" s="4" t="inlineStr">
        <is>
          <t>USD</t>
        </is>
      </c>
      <c r="L6" s="6" t="n">
        <v>28000</v>
      </c>
      <c r="M6" s="6" t="n">
        <v>1800</v>
      </c>
      <c r="N6" s="6" t="n">
        <v>65000</v>
      </c>
      <c r="O6" s="6" t="n">
        <v>15000</v>
      </c>
      <c r="P6" s="6">
        <f>L6+M6+N6+O6</f>
        <v/>
      </c>
      <c r="Q6" s="4" t="n">
        <v>1</v>
      </c>
      <c r="R6" s="4" t="inlineStr">
        <is>
          <t>Crawford &amp; Co.</t>
        </is>
      </c>
    </row>
    <row r="7">
      <c r="A7" s="10" t="inlineStr">
        <is>
          <t>EVT-2025-EQ-001-BI</t>
        </is>
      </c>
      <c r="B7" s="10" t="inlineStr">
        <is>
          <t>NAT-CAT</t>
        </is>
      </c>
      <c r="C7" s="4" t="inlineStr">
        <is>
          <t>EQ-BI</t>
        </is>
      </c>
      <c r="D7" s="4" t="inlineStr">
        <is>
          <t>CONTINGENT-BI</t>
        </is>
      </c>
      <c r="E7" s="4" t="inlineStr">
        <is>
          <t>Business interruption — Fremont plant shutdown (est. 8 weeks)</t>
        </is>
      </c>
      <c r="F7" s="4" t="inlineStr">
        <is>
          <t>ZIG-TL-440024</t>
        </is>
      </c>
      <c r="G7" s="4" t="inlineStr">
        <is>
          <t>Tesla Inc.</t>
        </is>
      </c>
      <c r="H7" s="4" t="inlineStr">
        <is>
          <t>Fremont, CA, US</t>
        </is>
      </c>
      <c r="I7" s="5" t="n">
        <v>45952</v>
      </c>
      <c r="J7" s="5" t="n">
        <v>45958</v>
      </c>
      <c r="K7" s="4" t="inlineStr">
        <is>
          <t>USD</t>
        </is>
      </c>
      <c r="L7" s="6" t="n">
        <v>82000</v>
      </c>
      <c r="M7" s="6" t="n">
        <v>4500</v>
      </c>
      <c r="N7" s="6" t="n">
        <v>180000</v>
      </c>
      <c r="O7" s="6" t="n">
        <v>45000</v>
      </c>
      <c r="P7" s="6">
        <f>L7+M7+N7+O7</f>
        <v/>
      </c>
      <c r="Q7" s="4" t="n">
        <v>1</v>
      </c>
      <c r="R7" s="4" t="inlineStr">
        <is>
          <t>Sedgwick</t>
        </is>
      </c>
    </row>
    <row r="8">
      <c r="A8" s="10" t="inlineStr">
        <is>
          <t>EVT-2025-EQ-001-SC</t>
        </is>
      </c>
      <c r="B8" s="10" t="inlineStr">
        <is>
          <t>NAT-CAT</t>
        </is>
      </c>
      <c r="C8" s="4" t="inlineStr">
        <is>
          <t>EQ-SC</t>
        </is>
      </c>
      <c r="D8" s="4" t="inlineStr">
        <is>
          <t>SUPPLY-CHAIN</t>
        </is>
      </c>
      <c r="E8" s="4" t="inlineStr">
        <is>
          <t>Supply chain disruption — Bay Area semiconductor suppliers</t>
        </is>
      </c>
      <c r="F8" s="4" t="inlineStr">
        <is>
          <t>ZIG-TL-440025</t>
        </is>
      </c>
      <c r="G8" s="4" t="inlineStr">
        <is>
          <t>Tesla Inc.</t>
        </is>
      </c>
      <c r="H8" s="4" t="inlineStr">
        <is>
          <t>San Jose, CA, US</t>
        </is>
      </c>
      <c r="I8" s="5" t="n">
        <v>45952</v>
      </c>
      <c r="J8" s="5" t="n">
        <v>45966</v>
      </c>
      <c r="K8" s="4" t="inlineStr">
        <is>
          <t>USD</t>
        </is>
      </c>
      <c r="L8" s="6" t="n">
        <v>12000</v>
      </c>
      <c r="M8" s="6" t="n">
        <v>800</v>
      </c>
      <c r="N8" s="6" t="n">
        <v>35000</v>
      </c>
      <c r="O8" s="6" t="n">
        <v>18000</v>
      </c>
      <c r="P8" s="6">
        <f>L8+M8+N8+O8</f>
        <v/>
      </c>
      <c r="Q8" s="4" t="n">
        <v>1</v>
      </c>
      <c r="R8" s="4" t="inlineStr">
        <is>
          <t>Sedgwick</t>
        </is>
      </c>
    </row>
    <row r="9">
      <c r="A9" s="10" t="inlineStr">
        <is>
          <t>EVT-2025-WS-002</t>
        </is>
      </c>
      <c r="B9" s="10" t="inlineStr">
        <is>
          <t>NAT-CAT</t>
        </is>
      </c>
      <c r="C9" s="4" t="inlineStr">
        <is>
          <t>WS</t>
        </is>
      </c>
      <c r="D9" s="4" t="inlineStr">
        <is>
          <t>HURRICANE</t>
        </is>
      </c>
      <c r="E9" s="4" t="inlineStr">
        <is>
          <t>Hurricane Marta — Cat 3 — Austin Gigafactory roof &amp; exterior damage</t>
        </is>
      </c>
      <c r="F9" s="4" t="inlineStr">
        <is>
          <t>ZIG-TL-440013</t>
        </is>
      </c>
      <c r="G9" s="4" t="inlineStr">
        <is>
          <t>Tesla Inc.</t>
        </is>
      </c>
      <c r="H9" s="4" t="inlineStr">
        <is>
          <t>Austin, TX, US</t>
        </is>
      </c>
      <c r="I9" s="5" t="n">
        <v>45976</v>
      </c>
      <c r="J9" s="5" t="n">
        <v>45977</v>
      </c>
      <c r="K9" s="4" t="inlineStr">
        <is>
          <t>USD</t>
        </is>
      </c>
      <c r="L9" s="6" t="n">
        <v>18500</v>
      </c>
      <c r="M9" s="6" t="n">
        <v>1200</v>
      </c>
      <c r="N9" s="6" t="n">
        <v>42000</v>
      </c>
      <c r="O9" s="6" t="n">
        <v>8000</v>
      </c>
      <c r="P9" s="6">
        <f>L9+M9+N9+O9</f>
        <v/>
      </c>
      <c r="Q9" s="4" t="n">
        <v>1</v>
      </c>
      <c r="R9" s="4" t="inlineStr">
        <is>
          <t>McLarens</t>
        </is>
      </c>
    </row>
    <row r="10">
      <c r="A10" s="10" t="inlineStr">
        <is>
          <t>EVT-2025-WS-002-BI</t>
        </is>
      </c>
      <c r="B10" s="10" t="inlineStr">
        <is>
          <t>NAT-CAT</t>
        </is>
      </c>
      <c r="C10" s="4" t="inlineStr">
        <is>
          <t>WS-BI</t>
        </is>
      </c>
      <c r="D10" s="4" t="inlineStr">
        <is>
          <t>WIND-BI</t>
        </is>
      </c>
      <c r="E10" s="4" t="inlineStr">
        <is>
          <t>Business interruption — Austin production halt (est. 3 weeks)</t>
        </is>
      </c>
      <c r="F10" s="4" t="inlineStr">
        <is>
          <t>ZIG-TL-440013</t>
        </is>
      </c>
      <c r="G10" s="4" t="inlineStr">
        <is>
          <t>Tesla Inc.</t>
        </is>
      </c>
      <c r="H10" s="4" t="inlineStr">
        <is>
          <t>Austin, TX, US</t>
        </is>
      </c>
      <c r="I10" s="5" t="n">
        <v>45976</v>
      </c>
      <c r="J10" s="5" t="n">
        <v>45981</v>
      </c>
      <c r="K10" s="4" t="inlineStr">
        <is>
          <t>USD</t>
        </is>
      </c>
      <c r="L10" s="6" t="n">
        <v>35000</v>
      </c>
      <c r="M10" s="6" t="n">
        <v>2100</v>
      </c>
      <c r="N10" s="6" t="n">
        <v>55000</v>
      </c>
      <c r="O10" s="6" t="n">
        <v>12000</v>
      </c>
      <c r="P10" s="6">
        <f>L10+M10+N10+O10</f>
        <v/>
      </c>
      <c r="Q10" s="4" t="n">
        <v>1</v>
      </c>
      <c r="R10" s="4" t="inlineStr">
        <is>
          <t>Sedgwick</t>
        </is>
      </c>
    </row>
    <row r="11">
      <c r="A11" s="11" t="inlineStr">
        <is>
          <t>EVT-2025-PL-003</t>
        </is>
      </c>
      <c r="B11" s="11" t="inlineStr">
        <is>
          <t>PROD-LIAB</t>
        </is>
      </c>
      <c r="C11" s="4" t="inlineStr">
        <is>
          <t>PL</t>
        </is>
      </c>
      <c r="D11" s="4" t="inlineStr">
        <is>
          <t>BATT-THERMAL</t>
        </is>
      </c>
      <c r="E11" s="4" t="inlineStr">
        <is>
          <t>Battery thermal runaway — Model Y — 14 incidents globally</t>
        </is>
      </c>
      <c r="F11" s="4" t="inlineStr">
        <is>
          <t>ZIG-TL-440022</t>
        </is>
      </c>
      <c r="G11" s="4" t="inlineStr">
        <is>
          <t>Tesla Inc.</t>
        </is>
      </c>
      <c r="H11" s="4" t="inlineStr">
        <is>
          <t>Global (US/EU/CN)</t>
        </is>
      </c>
      <c r="I11" s="5" t="n">
        <v>45901</v>
      </c>
      <c r="J11" s="5" t="n">
        <v>45915</v>
      </c>
      <c r="K11" s="4" t="inlineStr">
        <is>
          <t>USD</t>
        </is>
      </c>
      <c r="L11" s="6" t="n">
        <v>8200</v>
      </c>
      <c r="M11" s="6" t="n">
        <v>2800</v>
      </c>
      <c r="N11" s="6" t="n">
        <v>22000</v>
      </c>
      <c r="O11" s="6" t="n">
        <v>9500</v>
      </c>
      <c r="P11" s="6">
        <f>L11+M11+N11+O11</f>
        <v/>
      </c>
      <c r="Q11" s="4" t="n">
        <v>2</v>
      </c>
      <c r="R11" s="4" t="inlineStr">
        <is>
          <t>Kennedys (legal)</t>
        </is>
      </c>
    </row>
    <row r="12">
      <c r="A12" s="11" t="inlineStr">
        <is>
          <t>EVT-2025-PL-004</t>
        </is>
      </c>
      <c r="B12" s="11" t="inlineStr">
        <is>
          <t>PROD-LIAB</t>
        </is>
      </c>
      <c r="C12" s="4" t="inlineStr">
        <is>
          <t>PL</t>
        </is>
      </c>
      <c r="D12" s="4" t="inlineStr">
        <is>
          <t>AUTOPILOT</t>
        </is>
      </c>
      <c r="E12" s="4" t="inlineStr">
        <is>
          <t>Autopilot liability — class action (Garcia v. Tesla, SDNY)</t>
        </is>
      </c>
      <c r="F12" s="4" t="inlineStr">
        <is>
          <t>ZIG-TL-440023</t>
        </is>
      </c>
      <c r="G12" s="4" t="inlineStr">
        <is>
          <t>Tesla Inc.</t>
        </is>
      </c>
      <c r="H12" s="4" t="inlineStr">
        <is>
          <t>US — Federal Court</t>
        </is>
      </c>
      <c r="I12" s="5" t="n">
        <v>45881</v>
      </c>
      <c r="J12" s="5" t="n">
        <v>45889</v>
      </c>
      <c r="K12" s="4" t="inlineStr">
        <is>
          <t>USD</t>
        </is>
      </c>
      <c r="L12" s="6" t="n">
        <v>0</v>
      </c>
      <c r="M12" s="6" t="n">
        <v>4500</v>
      </c>
      <c r="N12" s="6" t="n">
        <v>85000</v>
      </c>
      <c r="O12" s="6" t="n">
        <v>40000</v>
      </c>
      <c r="P12" s="6">
        <f>L12+M12+N12+O12</f>
        <v/>
      </c>
      <c r="Q12" s="4" t="n">
        <v>1</v>
      </c>
      <c r="R12" s="4" t="inlineStr">
        <is>
          <t>Clyde &amp; Co (legal)</t>
        </is>
      </c>
    </row>
    <row r="13">
      <c r="A13" s="4" t="inlineStr">
        <is>
          <t>EVT-2025-FI-005</t>
        </is>
      </c>
      <c r="B13" s="4" t="inlineStr">
        <is>
          <t>ATTRITIONAL</t>
        </is>
      </c>
      <c r="C13" s="4" t="inlineStr">
        <is>
          <t>FIRE</t>
        </is>
      </c>
      <c r="D13" s="4" t="inlineStr">
        <is>
          <t>IND-FIRE</t>
        </is>
      </c>
      <c r="E13" s="4" t="inlineStr">
        <is>
          <t>Electrical fire — Shanghai Gigafactory stamping press area</t>
        </is>
      </c>
      <c r="F13" s="4" t="inlineStr">
        <is>
          <t>ZIG-TL-440016</t>
        </is>
      </c>
      <c r="G13" s="4" t="inlineStr">
        <is>
          <t>Tesla Inc.</t>
        </is>
      </c>
      <c r="H13" s="4" t="inlineStr">
        <is>
          <t>Shanghai, CN</t>
        </is>
      </c>
      <c r="I13" s="5" t="n">
        <v>45994</v>
      </c>
      <c r="J13" s="5" t="n">
        <v>45994</v>
      </c>
      <c r="K13" s="4" t="inlineStr">
        <is>
          <t>USD</t>
        </is>
      </c>
      <c r="L13" s="6" t="n">
        <v>6800</v>
      </c>
      <c r="M13" s="6" t="n">
        <v>450</v>
      </c>
      <c r="N13" s="6" t="n">
        <v>14000</v>
      </c>
      <c r="O13" s="6" t="n">
        <v>0</v>
      </c>
      <c r="P13" s="6">
        <f>L13+M13+N13+O13</f>
        <v/>
      </c>
      <c r="Q13" s="4" t="n">
        <v>1</v>
      </c>
      <c r="R13" s="4" t="inlineStr">
        <is>
          <t>Cunningham Lindsey</t>
        </is>
      </c>
    </row>
    <row r="14">
      <c r="A14" s="4" t="inlineStr">
        <is>
          <t>EVT-2025-EN-006</t>
        </is>
      </c>
      <c r="B14" s="4" t="inlineStr">
        <is>
          <t>ATTRITIONAL</t>
        </is>
      </c>
      <c r="C14" s="4" t="inlineStr">
        <is>
          <t>ENVIRO</t>
        </is>
      </c>
      <c r="D14" s="4" t="inlineStr">
        <is>
          <t>POLLUTION</t>
        </is>
      </c>
      <c r="E14" s="4" t="inlineStr">
        <is>
          <t>Chemical spill — paint shop wastewater — Grünheide facility</t>
        </is>
      </c>
      <c r="F14" s="4" t="inlineStr">
        <is>
          <t>ZIG-TL-440027</t>
        </is>
      </c>
      <c r="G14" s="4" t="inlineStr">
        <is>
          <t>Tesla Inc.</t>
        </is>
      </c>
      <c r="H14" s="4" t="inlineStr">
        <is>
          <t>Grünheide, DE</t>
        </is>
      </c>
      <c r="I14" s="5" t="n">
        <v>45969</v>
      </c>
      <c r="J14" s="5" t="n">
        <v>45971</v>
      </c>
      <c r="K14" s="4" t="inlineStr">
        <is>
          <t>USD</t>
        </is>
      </c>
      <c r="L14" s="6" t="n">
        <v>2200</v>
      </c>
      <c r="M14" s="6" t="n">
        <v>680</v>
      </c>
      <c r="N14" s="6" t="n">
        <v>5500</v>
      </c>
      <c r="O14" s="6" t="n">
        <v>1200</v>
      </c>
      <c r="P14" s="6">
        <f>L14+M14+N14+O14</f>
        <v/>
      </c>
      <c r="Q14" s="4" t="n">
        <v>1</v>
      </c>
      <c r="R14" s="4" t="inlineStr">
        <is>
          <t>Enviro Forensics GmbH</t>
        </is>
      </c>
    </row>
    <row r="15">
      <c r="A15" s="4" t="inlineStr">
        <is>
          <t>EVT-2025-WC-007</t>
        </is>
      </c>
      <c r="B15" s="4" t="inlineStr">
        <is>
          <t>ATTRITIONAL</t>
        </is>
      </c>
      <c r="C15" s="4" t="inlineStr">
        <is>
          <t>WC</t>
        </is>
      </c>
      <c r="D15" s="4" t="inlineStr">
        <is>
          <t>WORKERS-COMP</t>
        </is>
      </c>
      <c r="E15" s="4" t="inlineStr">
        <is>
          <t>Q4 2025 workers comp claims — aggregate (23 individual claims)</t>
        </is>
      </c>
      <c r="F15" s="4" t="inlineStr">
        <is>
          <t>ZIG-TL-440029</t>
        </is>
      </c>
      <c r="G15" s="4" t="inlineStr">
        <is>
          <t>Tesla Inc.</t>
        </is>
      </c>
      <c r="H15" s="4" t="inlineStr">
        <is>
          <t>All US Sites</t>
        </is>
      </c>
      <c r="I15" s="5" t="n">
        <v>45931</v>
      </c>
      <c r="J15" s="5" t="n">
        <v>45945</v>
      </c>
      <c r="K15" s="4" t="inlineStr">
        <is>
          <t>USD</t>
        </is>
      </c>
      <c r="L15" s="6" t="n">
        <v>1850</v>
      </c>
      <c r="M15" s="6" t="n">
        <v>320</v>
      </c>
      <c r="N15" s="6" t="n">
        <v>3200</v>
      </c>
      <c r="O15" s="6" t="n">
        <v>800</v>
      </c>
      <c r="P15" s="6">
        <f>L15+M15+N15+O15</f>
        <v/>
      </c>
      <c r="Q15" s="4" t="n">
        <v>1</v>
      </c>
      <c r="R15" s="4" t="inlineStr">
        <is>
          <t>Gallagher Bassett</t>
        </is>
      </c>
    </row>
    <row r="16">
      <c r="A16" s="4" t="inlineStr">
        <is>
          <t>EVT-2025-CY-008</t>
        </is>
      </c>
      <c r="B16" s="4" t="inlineStr">
        <is>
          <t>ATTRITIONAL</t>
        </is>
      </c>
      <c r="C16" s="4" t="inlineStr">
        <is>
          <t>CYBER</t>
        </is>
      </c>
      <c r="D16" s="4" t="inlineStr">
        <is>
          <t>VEH-HACK</t>
        </is>
      </c>
      <c r="E16" s="4" t="inlineStr">
        <is>
          <t>White-hat discovered exploit — OTA patch + customer notification costs</t>
        </is>
      </c>
      <c r="F16" s="4" t="inlineStr">
        <is>
          <t>ZIG-TL-440028</t>
        </is>
      </c>
      <c r="G16" s="4" t="inlineStr">
        <is>
          <t>Tesla Inc.</t>
        </is>
      </c>
      <c r="H16" s="4" t="inlineStr">
        <is>
          <t>Global</t>
        </is>
      </c>
      <c r="I16" s="5" t="n">
        <v>45986</v>
      </c>
      <c r="J16" s="5" t="n">
        <v>45987</v>
      </c>
      <c r="K16" s="4" t="inlineStr">
        <is>
          <t>USD</t>
        </is>
      </c>
      <c r="L16" s="6" t="n">
        <v>3500</v>
      </c>
      <c r="M16" s="6" t="n">
        <v>1200</v>
      </c>
      <c r="N16" s="6" t="n">
        <v>0</v>
      </c>
      <c r="O16" s="6" t="n">
        <v>2000</v>
      </c>
      <c r="P16" s="6">
        <f>L16+M16+N16+O16</f>
        <v/>
      </c>
      <c r="Q16" s="4" t="n">
        <v>3</v>
      </c>
      <c r="R16" s="4" t="inlineStr">
        <is>
          <t>CrowdStrike</t>
        </is>
      </c>
    </row>
    <row r="17">
      <c r="A17" s="11" t="inlineStr">
        <is>
          <t>EVT-2024-PL-018</t>
        </is>
      </c>
      <c r="B17" s="11" t="inlineStr">
        <is>
          <t>PROD-LIAB</t>
        </is>
      </c>
      <c r="C17" s="4" t="inlineStr">
        <is>
          <t>PL</t>
        </is>
      </c>
      <c r="D17" s="4" t="inlineStr">
        <is>
          <t>AUTO-RECALL</t>
        </is>
      </c>
      <c r="E17" s="4" t="inlineStr">
        <is>
          <t>Recall — suspension component — 2023 Model 3 (fully settled)</t>
        </is>
      </c>
      <c r="F17" s="4" t="inlineStr">
        <is>
          <t>ZIG-TL-440021</t>
        </is>
      </c>
      <c r="G17" s="4" t="inlineStr">
        <is>
          <t>Tesla Inc.</t>
        </is>
      </c>
      <c r="H17" s="4" t="inlineStr">
        <is>
          <t>US &amp; Canada</t>
        </is>
      </c>
      <c r="I17" s="5" t="n">
        <v>45458</v>
      </c>
      <c r="J17" s="5" t="n">
        <v>45463</v>
      </c>
      <c r="K17" s="4" t="inlineStr">
        <is>
          <t>USD</t>
        </is>
      </c>
      <c r="L17" s="6" t="n">
        <v>42000</v>
      </c>
      <c r="M17" s="6" t="n">
        <v>5800</v>
      </c>
      <c r="N17" s="6" t="n">
        <v>0</v>
      </c>
      <c r="O17" s="6" t="n">
        <v>0</v>
      </c>
      <c r="P17" s="6">
        <f>L17+M17+N17+O17</f>
        <v/>
      </c>
      <c r="Q17" s="4" t="n">
        <v>3</v>
      </c>
      <c r="R17" s="4" t="inlineStr">
        <is>
          <t>Kennedys (legal)</t>
        </is>
      </c>
    </row>
    <row r="18">
      <c r="A18" s="8" t="inlineStr">
        <is>
          <t>GRAND TOTAL</t>
        </is>
      </c>
      <c r="L18" s="9">
        <f>SUM(L5:L17)</f>
        <v/>
      </c>
      <c r="M18" s="9">
        <f>SUM(M5:M17)</f>
        <v/>
      </c>
      <c r="N18" s="9">
        <f>SUM(N5:N17)</f>
        <v/>
      </c>
      <c r="O18" s="9">
        <f>SUM(O5:O17)</f>
        <v/>
      </c>
      <c r="P18" s="9">
        <f>SUM(P5:P17)</f>
        <v/>
      </c>
    </row>
    <row r="20">
      <c r="A20" s="12" t="inlineStr">
        <is>
          <t>SUBTOTAL BY EVENT TYPE</t>
        </is>
      </c>
    </row>
    <row r="21">
      <c r="A21" s="3" t="inlineStr">
        <is>
          <t>Event Type</t>
        </is>
      </c>
      <c r="B21" s="3" t="inlineStr">
        <is>
          <t>Count</t>
        </is>
      </c>
      <c r="C21" s="3" t="inlineStr">
        <is>
          <t>Indemnity Paid</t>
        </is>
      </c>
      <c r="D21" s="3" t="inlineStr">
        <is>
          <t>Fees</t>
        </is>
      </c>
      <c r="E21" s="3" t="inlineStr">
        <is>
          <t>Outstanding</t>
        </is>
      </c>
      <c r="F21" s="3" t="inlineStr">
        <is>
          <t>IBNR</t>
        </is>
      </c>
      <c r="G21" s="3" t="inlineStr">
        <is>
          <t>Gross Incurred</t>
        </is>
      </c>
    </row>
    <row r="22">
      <c r="A22" s="13" t="inlineStr">
        <is>
          <t>NAT-CAT (Earthquake)</t>
        </is>
      </c>
      <c r="B22" s="14" t="n">
        <v>4</v>
      </c>
      <c r="C22" s="15">
        <f>L5+L6+L7+L8</f>
        <v/>
      </c>
      <c r="D22" s="15">
        <f>M5+M6+M7+M8</f>
        <v/>
      </c>
      <c r="E22" s="15">
        <f>N5+N6+N7+N8</f>
        <v/>
      </c>
      <c r="F22" s="15">
        <f>O5+O6+O7+O8</f>
        <v/>
      </c>
      <c r="G22" s="15">
        <f>P5+P6+P7+P8</f>
        <v/>
      </c>
    </row>
    <row r="23">
      <c r="A23" s="13" t="inlineStr">
        <is>
          <t>NAT-CAT (Windstorm)</t>
        </is>
      </c>
      <c r="B23" s="14" t="n">
        <v>2</v>
      </c>
      <c r="C23" s="15">
        <f>L9+L10</f>
        <v/>
      </c>
      <c r="D23" s="15">
        <f>M9+M10</f>
        <v/>
      </c>
      <c r="E23" s="15">
        <f>N9+N10</f>
        <v/>
      </c>
      <c r="F23" s="15">
        <f>O9+O10</f>
        <v/>
      </c>
      <c r="G23" s="15">
        <f>P9+P10</f>
        <v/>
      </c>
    </row>
    <row r="24">
      <c r="A24" s="13" t="inlineStr">
        <is>
          <t>PROD-LIAB</t>
        </is>
      </c>
      <c r="B24" s="14" t="n">
        <v>3</v>
      </c>
      <c r="C24" s="15">
        <f>L11+L12+L17</f>
        <v/>
      </c>
      <c r="D24" s="15">
        <f>M11+M12+M17</f>
        <v/>
      </c>
      <c r="E24" s="15">
        <f>N11+N12+N17</f>
        <v/>
      </c>
      <c r="F24" s="15">
        <f>O11+O12+O17</f>
        <v/>
      </c>
      <c r="G24" s="15">
        <f>P11+P12+P17</f>
        <v/>
      </c>
    </row>
    <row r="25">
      <c r="A25" s="13" t="inlineStr">
        <is>
          <t>ATTRITIONAL</t>
        </is>
      </c>
      <c r="B25" s="14" t="n">
        <v>4</v>
      </c>
      <c r="C25" s="15">
        <f>L13+L14+L15+L16</f>
        <v/>
      </c>
      <c r="D25" s="15">
        <f>M13+M14+M15+M16</f>
        <v/>
      </c>
      <c r="E25" s="15">
        <f>N13+N14+N15+N16</f>
        <v/>
      </c>
      <c r="F25" s="15">
        <f>O13+O14+O15+O16</f>
        <v/>
      </c>
      <c r="G25" s="15">
        <f>P13+P14+P15+P16</f>
        <v/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3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SCHEDULE OF VALUES — Tesla Inc. — 2026 Renewal Submission</t>
        </is>
      </c>
    </row>
    <row r="2">
      <c r="A2" s="2" t="inlineStr">
        <is>
          <t>Prepared for: Zurich / Munich Re  |  Broker: Guy Carpenter  |  Valuation: 31/12/2025  |  000s USD  |  COPE data included</t>
        </is>
      </c>
    </row>
    <row r="4">
      <c r="A4" s="3" t="inlineStr">
        <is>
          <t>Site #</t>
        </is>
      </c>
      <c r="B4" s="3" t="inlineStr">
        <is>
          <t>Facility Name</t>
        </is>
      </c>
      <c r="C4" s="3" t="inlineStr">
        <is>
          <t>Street Address</t>
        </is>
      </c>
      <c r="D4" s="3" t="inlineStr">
        <is>
          <t>City</t>
        </is>
      </c>
      <c r="E4" s="3" t="inlineStr">
        <is>
          <t>State/Prov</t>
        </is>
      </c>
      <c r="F4" s="3" t="inlineStr">
        <is>
          <t>Country</t>
        </is>
      </c>
      <c r="G4" s="3" t="inlineStr">
        <is>
          <t>Post Code</t>
        </is>
      </c>
      <c r="H4" s="3" t="inlineStr">
        <is>
          <t>Construction Type</t>
        </is>
      </c>
      <c r="I4" s="3" t="inlineStr">
        <is>
          <t>No. of Floors</t>
        </is>
      </c>
      <c r="J4" s="3" t="inlineStr">
        <is>
          <t>Yr Built</t>
        </is>
      </c>
      <c r="K4" s="3" t="inlineStr">
        <is>
          <t>Occupancy / Use</t>
        </is>
      </c>
      <c r="L4" s="3" t="inlineStr">
        <is>
          <t>Fire Protection</t>
        </is>
      </c>
      <c r="M4" s="3" t="inlineStr">
        <is>
          <t>Sprinkler Type</t>
        </is>
      </c>
      <c r="N4" s="3" t="inlineStr">
        <is>
          <t>Bldg Value (000s)</t>
        </is>
      </c>
      <c r="O4" s="3" t="inlineStr">
        <is>
          <t>M&amp;E Value (000s)</t>
        </is>
      </c>
      <c r="P4" s="3" t="inlineStr">
        <is>
          <t>Stock/Inventory (000s)</t>
        </is>
      </c>
      <c r="Q4" s="3" t="inlineStr">
        <is>
          <t>BI 12m Value (000s)</t>
        </is>
      </c>
      <c r="R4" s="3" t="inlineStr">
        <is>
          <t>TIV (000s)</t>
        </is>
      </c>
      <c r="S4" s="3" t="inlineStr">
        <is>
          <t>EQ Zone</t>
        </is>
      </c>
    </row>
    <row r="5">
      <c r="A5" s="4" t="n">
        <v>1</v>
      </c>
      <c r="B5" s="4" t="inlineStr">
        <is>
          <t>Fremont Factory</t>
        </is>
      </c>
      <c r="C5" s="4" t="inlineStr">
        <is>
          <t>45500 Fremont Blvd</t>
        </is>
      </c>
      <c r="D5" s="4" t="inlineStr">
        <is>
          <t>Fremont</t>
        </is>
      </c>
      <c r="E5" s="4" t="inlineStr">
        <is>
          <t>CA</t>
        </is>
      </c>
      <c r="F5" s="4" t="inlineStr">
        <is>
          <t>US</t>
        </is>
      </c>
      <c r="G5" s="4" t="inlineStr">
        <is>
          <t>94538</t>
        </is>
      </c>
      <c r="H5" s="4" t="inlineStr">
        <is>
          <t>Reinforced Concrete</t>
        </is>
      </c>
      <c r="I5" s="4" t="n">
        <v>3</v>
      </c>
      <c r="J5" s="4" t="n">
        <v>1962</v>
      </c>
      <c r="K5" s="4" t="inlineStr">
        <is>
          <t>Auto Mfg — Assembly</t>
        </is>
      </c>
      <c r="L5" s="4" t="inlineStr">
        <is>
          <t>Full</t>
        </is>
      </c>
      <c r="M5" s="4" t="inlineStr">
        <is>
          <t>Wet — ESFR</t>
        </is>
      </c>
      <c r="N5" s="6" t="n">
        <v>1800000</v>
      </c>
      <c r="O5" s="6" t="n">
        <v>2200000</v>
      </c>
      <c r="P5" s="6" t="n">
        <v>450000</v>
      </c>
      <c r="Q5" s="6" t="n">
        <v>3800000</v>
      </c>
      <c r="R5" s="6">
        <f>N5+O5+P5+Q5</f>
        <v/>
      </c>
      <c r="S5" s="10" t="inlineStr">
        <is>
          <t>Zone 4 — High</t>
        </is>
      </c>
    </row>
    <row r="6">
      <c r="A6" s="4" t="n">
        <v>2</v>
      </c>
      <c r="B6" s="4" t="inlineStr">
        <is>
          <t>Gigafactory Texas</t>
        </is>
      </c>
      <c r="C6" s="4" t="inlineStr">
        <is>
          <t>13101 Harold Green Rd</t>
        </is>
      </c>
      <c r="D6" s="4" t="inlineStr">
        <is>
          <t>Austin</t>
        </is>
      </c>
      <c r="E6" s="4" t="inlineStr">
        <is>
          <t>TX</t>
        </is>
      </c>
      <c r="F6" s="4" t="inlineStr">
        <is>
          <t>US</t>
        </is>
      </c>
      <c r="G6" s="4" t="inlineStr">
        <is>
          <t>78725</t>
        </is>
      </c>
      <c r="H6" s="4" t="inlineStr">
        <is>
          <t>Steel Frame / Metal Clad</t>
        </is>
      </c>
      <c r="I6" s="4" t="n">
        <v>2</v>
      </c>
      <c r="J6" s="4" t="n">
        <v>2021</v>
      </c>
      <c r="K6" s="4" t="inlineStr">
        <is>
          <t>Auto Mfg — Assembly + Battery</t>
        </is>
      </c>
      <c r="L6" s="4" t="inlineStr">
        <is>
          <t>Full</t>
        </is>
      </c>
      <c r="M6" s="4" t="inlineStr">
        <is>
          <t>Wet — ESFR + Foam</t>
        </is>
      </c>
      <c r="N6" s="6" t="n">
        <v>2400000</v>
      </c>
      <c r="O6" s="6" t="n">
        <v>3500000</v>
      </c>
      <c r="P6" s="6" t="n">
        <v>680000</v>
      </c>
      <c r="Q6" s="6" t="n">
        <v>5200000</v>
      </c>
      <c r="R6" s="6">
        <f>N6+O6+P6+Q6</f>
        <v/>
      </c>
      <c r="S6" s="4" t="inlineStr">
        <is>
          <t>Zone 1 — Low</t>
        </is>
      </c>
    </row>
    <row r="7">
      <c r="A7" s="4" t="n">
        <v>3</v>
      </c>
      <c r="B7" s="4" t="inlineStr">
        <is>
          <t>Gigafactory Nevada</t>
        </is>
      </c>
      <c r="C7" s="4" t="inlineStr">
        <is>
          <t>1 Electric Ave</t>
        </is>
      </c>
      <c r="D7" s="4" t="inlineStr">
        <is>
          <t>Sparks</t>
        </is>
      </c>
      <c r="E7" s="4" t="inlineStr">
        <is>
          <t>NV</t>
        </is>
      </c>
      <c r="F7" s="4" t="inlineStr">
        <is>
          <t>US</t>
        </is>
      </c>
      <c r="G7" s="4" t="inlineStr">
        <is>
          <t>89434</t>
        </is>
      </c>
      <c r="H7" s="4" t="inlineStr">
        <is>
          <t>Steel Frame / Metal Clad</t>
        </is>
      </c>
      <c r="I7" s="4" t="n">
        <v>2</v>
      </c>
      <c r="J7" s="4" t="n">
        <v>2016</v>
      </c>
      <c r="K7" s="4" t="inlineStr">
        <is>
          <t>Battery Cell Mfg</t>
        </is>
      </c>
      <c r="L7" s="4" t="inlineStr">
        <is>
          <t>Full</t>
        </is>
      </c>
      <c r="M7" s="4" t="inlineStr">
        <is>
          <t>Wet — ESFR + Dry Chem</t>
        </is>
      </c>
      <c r="N7" s="6" t="n">
        <v>1600000</v>
      </c>
      <c r="O7" s="6" t="n">
        <v>2800000</v>
      </c>
      <c r="P7" s="6" t="n">
        <v>520000</v>
      </c>
      <c r="Q7" s="6" t="n">
        <v>3600000</v>
      </c>
      <c r="R7" s="6">
        <f>N7+O7+P7+Q7</f>
        <v/>
      </c>
      <c r="S7" s="11" t="inlineStr">
        <is>
          <t>Zone 3 — Moderate</t>
        </is>
      </c>
    </row>
    <row r="8">
      <c r="A8" s="4" t="n">
        <v>4</v>
      </c>
      <c r="B8" s="4" t="inlineStr">
        <is>
          <t>Gigafactory Berlin</t>
        </is>
      </c>
      <c r="C8" s="4" t="inlineStr">
        <is>
          <t>Grünheider Str.</t>
        </is>
      </c>
      <c r="D8" s="4" t="inlineStr">
        <is>
          <t>Grünheide</t>
        </is>
      </c>
      <c r="E8" s="4" t="inlineStr">
        <is>
          <t>Brandenburg</t>
        </is>
      </c>
      <c r="F8" s="4" t="inlineStr">
        <is>
          <t>DE</t>
        </is>
      </c>
      <c r="G8" s="4" t="inlineStr">
        <is>
          <t>15537</t>
        </is>
      </c>
      <c r="H8" s="4" t="inlineStr">
        <is>
          <t>Steel Frame / Concrete</t>
        </is>
      </c>
      <c r="I8" s="4" t="n">
        <v>2</v>
      </c>
      <c r="J8" s="4" t="n">
        <v>2021</v>
      </c>
      <c r="K8" s="4" t="inlineStr">
        <is>
          <t>Auto Mfg — Assembly</t>
        </is>
      </c>
      <c r="L8" s="4" t="inlineStr">
        <is>
          <t>Full</t>
        </is>
      </c>
      <c r="M8" s="4" t="inlineStr">
        <is>
          <t>Wet — ESFR</t>
        </is>
      </c>
      <c r="N8" s="6" t="n">
        <v>2100000</v>
      </c>
      <c r="O8" s="6" t="n">
        <v>3200000</v>
      </c>
      <c r="P8" s="6" t="n">
        <v>580000</v>
      </c>
      <c r="Q8" s="6" t="n">
        <v>4800000</v>
      </c>
      <c r="R8" s="6">
        <f>N8+O8+P8+Q8</f>
        <v/>
      </c>
      <c r="S8" s="4" t="inlineStr">
        <is>
          <t>Zone 1 — Low</t>
        </is>
      </c>
    </row>
    <row r="9">
      <c r="A9" s="4" t="n">
        <v>5</v>
      </c>
      <c r="B9" s="4" t="inlineStr">
        <is>
          <t>Gigafactory Shanghai</t>
        </is>
      </c>
      <c r="C9" s="4" t="inlineStr">
        <is>
          <t>1 Tesla Rd, Lingang</t>
        </is>
      </c>
      <c r="D9" s="4" t="inlineStr">
        <is>
          <t>Shanghai</t>
        </is>
      </c>
      <c r="E9" s="4" t="inlineStr">
        <is>
          <t>Shanghai</t>
        </is>
      </c>
      <c r="F9" s="4" t="inlineStr">
        <is>
          <t>CN</t>
        </is>
      </c>
      <c r="G9" s="4" t="inlineStr">
        <is>
          <t>201306</t>
        </is>
      </c>
      <c r="H9" s="4" t="inlineStr">
        <is>
          <t>Reinforced Concrete</t>
        </is>
      </c>
      <c r="I9" s="4" t="n">
        <v>3</v>
      </c>
      <c r="J9" s="4" t="n">
        <v>2019</v>
      </c>
      <c r="K9" s="4" t="inlineStr">
        <is>
          <t>Auto Mfg — Assembly + Battery</t>
        </is>
      </c>
      <c r="L9" s="4" t="inlineStr">
        <is>
          <t>Full</t>
        </is>
      </c>
      <c r="M9" s="4" t="inlineStr">
        <is>
          <t>Wet — Ordinary + Foam</t>
        </is>
      </c>
      <c r="N9" s="6" t="n">
        <v>2800000</v>
      </c>
      <c r="O9" s="6" t="n">
        <v>4100000</v>
      </c>
      <c r="P9" s="6" t="n">
        <v>750000</v>
      </c>
      <c r="Q9" s="6" t="n">
        <v>6200000</v>
      </c>
      <c r="R9" s="6">
        <f>N9+O9+P9+Q9</f>
        <v/>
      </c>
      <c r="S9" s="4" t="inlineStr">
        <is>
          <t>Zone 2 — Low-Mod</t>
        </is>
      </c>
    </row>
    <row r="10">
      <c r="A10" s="4" t="n">
        <v>6</v>
      </c>
      <c r="B10" s="4" t="inlineStr">
        <is>
          <t>Palo Alto HQ</t>
        </is>
      </c>
      <c r="C10" s="4" t="inlineStr">
        <is>
          <t>3500 Deer Creek Rd</t>
        </is>
      </c>
      <c r="D10" s="4" t="inlineStr">
        <is>
          <t>Palo Alto</t>
        </is>
      </c>
      <c r="E10" s="4" t="inlineStr">
        <is>
          <t>CA</t>
        </is>
      </c>
      <c r="F10" s="4" t="inlineStr">
        <is>
          <t>US</t>
        </is>
      </c>
      <c r="G10" s="4" t="inlineStr">
        <is>
          <t>94304</t>
        </is>
      </c>
      <c r="H10" s="4" t="inlineStr">
        <is>
          <t>Fire Resistive</t>
        </is>
      </c>
      <c r="I10" s="4" t="n">
        <v>3</v>
      </c>
      <c r="J10" s="4" t="n">
        <v>2010</v>
      </c>
      <c r="K10" s="4" t="inlineStr">
        <is>
          <t>Office / R&amp;D</t>
        </is>
      </c>
      <c r="L10" s="4" t="inlineStr">
        <is>
          <t>Full</t>
        </is>
      </c>
      <c r="M10" s="4" t="inlineStr">
        <is>
          <t>Wet — Ordinary</t>
        </is>
      </c>
      <c r="N10" s="6" t="n">
        <v>280000</v>
      </c>
      <c r="O10" s="6" t="n">
        <v>85000</v>
      </c>
      <c r="P10" s="6" t="n">
        <v>0</v>
      </c>
      <c r="Q10" s="6" t="n">
        <v>420000</v>
      </c>
      <c r="R10" s="6">
        <f>N10+O10+P10+Q10</f>
        <v/>
      </c>
      <c r="S10" s="10" t="inlineStr">
        <is>
          <t>Zone 4 — High</t>
        </is>
      </c>
    </row>
    <row r="11">
      <c r="A11" s="4" t="n">
        <v>7</v>
      </c>
      <c r="B11" s="4" t="inlineStr">
        <is>
          <t>Lathrop Mega-Pack Factory</t>
        </is>
      </c>
      <c r="C11" s="4" t="inlineStr">
        <is>
          <t>34900 Manthey Rd</t>
        </is>
      </c>
      <c r="D11" s="4" t="inlineStr">
        <is>
          <t>Lathrop</t>
        </is>
      </c>
      <c r="E11" s="4" t="inlineStr">
        <is>
          <t>CA</t>
        </is>
      </c>
      <c r="F11" s="4" t="inlineStr">
        <is>
          <t>US</t>
        </is>
      </c>
      <c r="G11" s="4" t="inlineStr">
        <is>
          <t>95330</t>
        </is>
      </c>
      <c r="H11" s="4" t="inlineStr">
        <is>
          <t>Steel Frame / Metal Clad</t>
        </is>
      </c>
      <c r="I11" s="4" t="n">
        <v>1</v>
      </c>
      <c r="J11" s="4" t="n">
        <v>2022</v>
      </c>
      <c r="K11" s="4" t="inlineStr">
        <is>
          <t>Energy Storage Mfg</t>
        </is>
      </c>
      <c r="L11" s="4" t="inlineStr">
        <is>
          <t>Full</t>
        </is>
      </c>
      <c r="M11" s="4" t="inlineStr">
        <is>
          <t>Wet — ESFR + Dry Chem</t>
        </is>
      </c>
      <c r="N11" s="6" t="n">
        <v>650000</v>
      </c>
      <c r="O11" s="6" t="n">
        <v>1200000</v>
      </c>
      <c r="P11" s="6" t="n">
        <v>280000</v>
      </c>
      <c r="Q11" s="6" t="n">
        <v>1800000</v>
      </c>
      <c r="R11" s="6">
        <f>N11+O11+P11+Q11</f>
        <v/>
      </c>
      <c r="S11" s="11" t="inlineStr">
        <is>
          <t>Zone 3 — Moderate</t>
        </is>
      </c>
    </row>
    <row r="12">
      <c r="A12" s="4" t="n">
        <v>8</v>
      </c>
      <c r="B12" s="4" t="inlineStr">
        <is>
          <t>Buffalo Solar Factory</t>
        </is>
      </c>
      <c r="C12" s="4" t="inlineStr">
        <is>
          <t>1 Solar Pk</t>
        </is>
      </c>
      <c r="D12" s="4" t="inlineStr">
        <is>
          <t>Buffalo</t>
        </is>
      </c>
      <c r="E12" s="4" t="inlineStr">
        <is>
          <t>NY</t>
        </is>
      </c>
      <c r="F12" s="4" t="inlineStr">
        <is>
          <t>US</t>
        </is>
      </c>
      <c r="G12" s="4" t="inlineStr">
        <is>
          <t>14203</t>
        </is>
      </c>
      <c r="H12" s="4" t="inlineStr">
        <is>
          <t>Steel Frame</t>
        </is>
      </c>
      <c r="I12" s="4" t="n">
        <v>1</v>
      </c>
      <c r="J12" s="4" t="n">
        <v>2017</v>
      </c>
      <c r="K12" s="4" t="inlineStr">
        <is>
          <t>Solar Panel Mfg</t>
        </is>
      </c>
      <c r="L12" s="4" t="inlineStr">
        <is>
          <t>Partial</t>
        </is>
      </c>
      <c r="M12" s="4" t="inlineStr">
        <is>
          <t>Wet — Ordinary</t>
        </is>
      </c>
      <c r="N12" s="6" t="n">
        <v>320000</v>
      </c>
      <c r="O12" s="6" t="n">
        <v>480000</v>
      </c>
      <c r="P12" s="6" t="n">
        <v>120000</v>
      </c>
      <c r="Q12" s="6" t="n">
        <v>850000</v>
      </c>
      <c r="R12" s="6">
        <f>N12+O12+P12+Q12</f>
        <v/>
      </c>
      <c r="S12" s="4" t="inlineStr">
        <is>
          <t>Zone 2 — Low-Mod</t>
        </is>
      </c>
    </row>
    <row r="13">
      <c r="A13" s="4" t="n">
        <v>9</v>
      </c>
      <c r="B13" s="4" t="inlineStr">
        <is>
          <t>Service Centers (US aggregate)</t>
        </is>
      </c>
      <c r="C13" s="4" t="inlineStr">
        <is>
          <t>Various — 180 locations</t>
        </is>
      </c>
      <c r="D13" s="4" t="inlineStr">
        <is>
          <t>Various</t>
        </is>
      </c>
      <c r="E13" s="4" t="inlineStr">
        <is>
          <t>Various</t>
        </is>
      </c>
      <c r="F13" s="4" t="inlineStr">
        <is>
          <t>US</t>
        </is>
      </c>
      <c r="G13" s="4" t="inlineStr">
        <is>
          <t>Various</t>
        </is>
      </c>
      <c r="H13" s="4" t="inlineStr">
        <is>
          <t>Mixed — Masonry/Frame</t>
        </is>
      </c>
      <c r="I13" s="4" t="n">
        <v>1</v>
      </c>
      <c r="J13" s="4" t="inlineStr">
        <is>
          <t>Various</t>
        </is>
      </c>
      <c r="K13" s="4" t="inlineStr">
        <is>
          <t>Auto Service/Repair</t>
        </is>
      </c>
      <c r="L13" s="4" t="inlineStr">
        <is>
          <t>Partial</t>
        </is>
      </c>
      <c r="M13" s="4" t="inlineStr">
        <is>
          <t>Mixed</t>
        </is>
      </c>
      <c r="N13" s="6" t="n">
        <v>540000</v>
      </c>
      <c r="O13" s="6" t="n">
        <v>320000</v>
      </c>
      <c r="P13" s="6" t="n">
        <v>180000</v>
      </c>
      <c r="Q13" s="6" t="n">
        <v>950000</v>
      </c>
      <c r="R13" s="6">
        <f>N13+O13+P13+Q13</f>
        <v/>
      </c>
      <c r="S13" s="4" t="inlineStr">
        <is>
          <t>Various</t>
        </is>
      </c>
    </row>
    <row r="14">
      <c r="A14" s="4" t="n">
        <v>10</v>
      </c>
      <c r="B14" s="4" t="inlineStr">
        <is>
          <t>Supercharger Network (US)</t>
        </is>
      </c>
      <c r="C14" s="4" t="inlineStr">
        <is>
          <t>Various — 2,200+ stations</t>
        </is>
      </c>
      <c r="D14" s="4" t="inlineStr">
        <is>
          <t>Various</t>
        </is>
      </c>
      <c r="E14" s="4" t="inlineStr">
        <is>
          <t>Various</t>
        </is>
      </c>
      <c r="F14" s="4" t="inlineStr">
        <is>
          <t>US</t>
        </is>
      </c>
      <c r="G14" s="4" t="inlineStr">
        <is>
          <t>Various</t>
        </is>
      </c>
      <c r="H14" s="4" t="inlineStr">
        <is>
          <t>Outdoor / Kiosk</t>
        </is>
      </c>
      <c r="I14" s="4" t="n">
        <v>0</v>
      </c>
      <c r="J14" s="4" t="inlineStr">
        <is>
          <t>Various</t>
        </is>
      </c>
      <c r="K14" s="4" t="inlineStr">
        <is>
          <t>EV Charging Infrastructure</t>
        </is>
      </c>
      <c r="L14" s="4" t="inlineStr">
        <is>
          <t>None</t>
        </is>
      </c>
      <c r="M14" s="4" t="inlineStr">
        <is>
          <t>N/A</t>
        </is>
      </c>
      <c r="N14" s="6" t="n">
        <v>0</v>
      </c>
      <c r="O14" s="6" t="n">
        <v>1100000</v>
      </c>
      <c r="P14" s="6" t="n">
        <v>0</v>
      </c>
      <c r="Q14" s="6" t="n">
        <v>480000</v>
      </c>
      <c r="R14" s="6">
        <f>N14+O14+P14+Q14</f>
        <v/>
      </c>
      <c r="S14" s="4" t="inlineStr">
        <is>
          <t>Various</t>
        </is>
      </c>
    </row>
    <row r="15">
      <c r="A15" s="8" t="inlineStr">
        <is>
          <t>TOTAL</t>
        </is>
      </c>
      <c r="N15" s="9">
        <f>SUM(N5:N14)</f>
        <v/>
      </c>
      <c r="O15" s="9">
        <f>SUM(O5:O14)</f>
        <v/>
      </c>
      <c r="P15" s="9">
        <f>SUM(P5:P14)</f>
        <v/>
      </c>
      <c r="Q15" s="9">
        <f>SUM(Q5:Q14)</f>
        <v/>
      </c>
      <c r="R15" s="9">
        <f>SUM(R5:R14)</f>
        <v/>
      </c>
    </row>
  </sheetData>
  <mergeCells count="2"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INCURRED LOSS DEVELOPMENT — Tesla Inc. — All Industrial Lines</t>
        </is>
      </c>
    </row>
    <row r="2">
      <c r="A2" s="2" t="inlineStr">
        <is>
          <t>USD (000s)  |  As at 31/12/2025  |  Includes EQ, FFEQ, Fire, Wind, ProdLiab, BI</t>
        </is>
      </c>
    </row>
    <row r="4">
      <c r="A4" s="16" t="inlineStr">
        <is>
          <t>Acc. Year</t>
        </is>
      </c>
      <c r="B4" s="17" t="inlineStr">
        <is>
          <t>Year 1</t>
        </is>
      </c>
      <c r="C4" s="17" t="inlineStr">
        <is>
          <t>Year 2</t>
        </is>
      </c>
      <c r="D4" s="17" t="inlineStr">
        <is>
          <t>Year 3</t>
        </is>
      </c>
      <c r="E4" s="17" t="inlineStr">
        <is>
          <t>Year 4</t>
        </is>
      </c>
      <c r="F4" s="17" t="inlineStr">
        <is>
          <t>Year 5</t>
        </is>
      </c>
      <c r="G4" s="17" t="inlineStr">
        <is>
          <t>Year 6</t>
        </is>
      </c>
      <c r="H4" s="17" t="inlineStr">
        <is>
          <t>Year 7</t>
        </is>
      </c>
      <c r="I4" s="17" t="inlineStr">
        <is>
          <t>Year 8</t>
        </is>
      </c>
      <c r="J4" s="17" t="inlineStr">
        <is>
          <t>Year 9</t>
        </is>
      </c>
      <c r="K4" s="17" t="inlineStr">
        <is>
          <t>Year 10</t>
        </is>
      </c>
    </row>
    <row r="5">
      <c r="A5" s="18" t="n">
        <v>2016</v>
      </c>
      <c r="B5" s="19" t="n">
        <v>11391</v>
      </c>
      <c r="C5" s="19" t="n">
        <v>15737</v>
      </c>
      <c r="D5" s="19" t="n">
        <v>17707</v>
      </c>
      <c r="E5" s="19" t="n">
        <v>21560</v>
      </c>
      <c r="F5" s="19" t="n">
        <v>21958</v>
      </c>
      <c r="G5" s="19" t="n">
        <v>21495</v>
      </c>
      <c r="H5" s="19" t="n">
        <v>21903</v>
      </c>
      <c r="I5" s="19" t="n">
        <v>21831</v>
      </c>
      <c r="J5" s="19" t="n">
        <v>22505</v>
      </c>
      <c r="K5" s="19" t="n">
        <v>24109</v>
      </c>
    </row>
    <row r="6">
      <c r="A6" s="18" t="n">
        <v>2017</v>
      </c>
      <c r="B6" s="19" t="n">
        <v>14355</v>
      </c>
      <c r="C6" s="19" t="n">
        <v>20214</v>
      </c>
      <c r="D6" s="19" t="n">
        <v>21356</v>
      </c>
      <c r="E6" s="19" t="n">
        <v>26294</v>
      </c>
      <c r="F6" s="19" t="n">
        <v>28425</v>
      </c>
      <c r="G6" s="19" t="n">
        <v>28305</v>
      </c>
      <c r="H6" s="19" t="n">
        <v>28923</v>
      </c>
      <c r="I6" s="19" t="n">
        <v>29857</v>
      </c>
      <c r="J6" s="19" t="n">
        <v>26713</v>
      </c>
      <c r="K6" s="6" t="n"/>
    </row>
    <row r="7">
      <c r="A7" s="18" t="n">
        <v>2018</v>
      </c>
      <c r="B7" s="19" t="n">
        <v>18087</v>
      </c>
      <c r="C7" s="19" t="n">
        <v>22916</v>
      </c>
      <c r="D7" s="19" t="n">
        <v>30051</v>
      </c>
      <c r="E7" s="19" t="n">
        <v>31494</v>
      </c>
      <c r="F7" s="19" t="n">
        <v>31038</v>
      </c>
      <c r="G7" s="19" t="n">
        <v>33913</v>
      </c>
      <c r="H7" s="19" t="n">
        <v>36491</v>
      </c>
      <c r="I7" s="19" t="n">
        <v>35785</v>
      </c>
      <c r="J7" s="6" t="n"/>
      <c r="K7" s="6" t="n"/>
    </row>
    <row r="8">
      <c r="A8" s="18" t="n">
        <v>2019</v>
      </c>
      <c r="B8" s="19" t="n">
        <v>20667</v>
      </c>
      <c r="C8" s="19" t="n">
        <v>31775</v>
      </c>
      <c r="D8" s="19" t="n">
        <v>32292</v>
      </c>
      <c r="E8" s="19" t="n">
        <v>39917</v>
      </c>
      <c r="F8" s="19" t="n">
        <v>43076</v>
      </c>
      <c r="G8" s="19" t="n">
        <v>43021</v>
      </c>
      <c r="H8" s="19" t="n">
        <v>45253</v>
      </c>
      <c r="I8" s="6" t="n"/>
      <c r="J8" s="6" t="n"/>
      <c r="K8" s="6" t="n"/>
    </row>
    <row r="9">
      <c r="A9" s="18" t="n">
        <v>2020</v>
      </c>
      <c r="B9" s="19" t="n">
        <v>19596</v>
      </c>
      <c r="C9" s="19" t="n">
        <v>25142</v>
      </c>
      <c r="D9" s="19" t="n">
        <v>30673</v>
      </c>
      <c r="E9" s="19" t="n">
        <v>34818</v>
      </c>
      <c r="F9" s="19" t="n">
        <v>37014</v>
      </c>
      <c r="G9" s="19" t="n">
        <v>35981</v>
      </c>
      <c r="H9" s="6" t="n"/>
      <c r="I9" s="6" t="n"/>
      <c r="J9" s="6" t="n"/>
      <c r="K9" s="6" t="n"/>
    </row>
    <row r="10">
      <c r="A10" s="18" t="n">
        <v>2021</v>
      </c>
      <c r="B10" s="19" t="n">
        <v>30003</v>
      </c>
      <c r="C10" s="19" t="n">
        <v>34988</v>
      </c>
      <c r="D10" s="19" t="n">
        <v>44210</v>
      </c>
      <c r="E10" s="19" t="n">
        <v>44611</v>
      </c>
      <c r="F10" s="19" t="n">
        <v>49802</v>
      </c>
      <c r="G10" s="6" t="n"/>
      <c r="H10" s="6" t="n"/>
      <c r="I10" s="6" t="n"/>
      <c r="J10" s="6" t="n"/>
      <c r="K10" s="6" t="n"/>
    </row>
    <row r="11">
      <c r="A11" s="18" t="n">
        <v>2022</v>
      </c>
      <c r="B11" s="19" t="n">
        <v>37740</v>
      </c>
      <c r="C11" s="19" t="n">
        <v>44361</v>
      </c>
      <c r="D11" s="19" t="n">
        <v>59596</v>
      </c>
      <c r="E11" s="19" t="n">
        <v>64102</v>
      </c>
      <c r="F11" s="6" t="n"/>
      <c r="G11" s="6" t="n"/>
      <c r="H11" s="6" t="n"/>
      <c r="I11" s="6" t="n"/>
      <c r="J11" s="6" t="n"/>
      <c r="K11" s="6" t="n"/>
    </row>
    <row r="12">
      <c r="A12" s="18" t="n">
        <v>2023</v>
      </c>
      <c r="B12" s="19" t="n">
        <v>43265</v>
      </c>
      <c r="C12" s="19" t="n">
        <v>52671</v>
      </c>
      <c r="D12" s="19" t="n">
        <v>66057</v>
      </c>
      <c r="E12" s="6" t="n"/>
      <c r="F12" s="6" t="n"/>
      <c r="G12" s="6" t="n"/>
      <c r="H12" s="6" t="n"/>
      <c r="I12" s="6" t="n"/>
      <c r="J12" s="6" t="n"/>
      <c r="K12" s="6" t="n"/>
    </row>
    <row r="13">
      <c r="A13" s="18" t="n">
        <v>2024</v>
      </c>
      <c r="B13" s="19" t="n">
        <v>39167</v>
      </c>
      <c r="C13" s="19" t="n">
        <v>47977</v>
      </c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18" t="n">
        <v>2025</v>
      </c>
      <c r="B14" s="19" t="n">
        <v>91933</v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6" customWidth="1" min="3" max="3"/>
    <col width="16" customWidth="1" min="4" max="4"/>
    <col width="16" customWidth="1" min="5" max="5"/>
    <col width="16" customWidth="1" min="6" max="6"/>
    <col width="58" customWidth="1" min="7" max="7"/>
    <col width="16" customWidth="1" min="8" max="8"/>
    <col width="16" customWidth="1" min="9" max="9"/>
    <col width="16" customWidth="1" min="10" max="10"/>
    <col width="16" customWidth="1" min="11" max="11"/>
    <col width="42" customWidth="1" min="12" max="12"/>
  </cols>
  <sheetData>
    <row r="1">
      <c r="A1" s="1" t="inlineStr">
        <is>
          <t>RISK REGISTER — Tesla Inc. — BU2 Industrial &amp; Specialty</t>
        </is>
      </c>
    </row>
    <row r="2">
      <c r="A2" s="2" t="inlineStr">
        <is>
          <t>Last updated: 15/12/2025  |  Review: Quarterly  |  Risk Owner: VP Risk &amp; Insurance</t>
        </is>
      </c>
    </row>
    <row r="4">
      <c r="A4" s="3" t="inlineStr">
        <is>
          <t>Risk ID</t>
        </is>
      </c>
      <c r="B4" s="3" t="inlineStr">
        <is>
          <t>Risk Description</t>
        </is>
      </c>
      <c r="C4" s="3" t="inlineStr">
        <is>
          <t>Peril Class</t>
        </is>
      </c>
      <c r="D4" s="3" t="inlineStr">
        <is>
          <t>Probability (1–5)</t>
        </is>
      </c>
      <c r="E4" s="3" t="inlineStr">
        <is>
          <t>Impact (1–5)</t>
        </is>
      </c>
      <c r="F4" s="3" t="inlineStr">
        <is>
          <t>Risk Score</t>
        </is>
      </c>
      <c r="G4" s="3" t="inlineStr">
        <is>
          <t>Mitigation / Controls</t>
        </is>
      </c>
      <c r="H4" s="3" t="inlineStr">
        <is>
          <t>Owner</t>
        </is>
      </c>
      <c r="I4" s="3" t="inlineStr">
        <is>
          <t>Status</t>
        </is>
      </c>
      <c r="J4" s="3" t="inlineStr">
        <is>
          <t>Date Raised</t>
        </is>
      </c>
      <c r="K4" s="3" t="inlineStr">
        <is>
          <t>Next Review</t>
        </is>
      </c>
      <c r="L4" s="3" t="inlineStr">
        <is>
          <t>Comments</t>
        </is>
      </c>
    </row>
    <row r="5" ht="45" customHeight="1">
      <c r="A5" s="4" t="inlineStr">
        <is>
          <t>TR-001</t>
        </is>
      </c>
      <c r="B5" s="20" t="inlineStr">
        <is>
          <t>Major earthquake affecting Fremont factory — structural collapse + FFEQ</t>
        </is>
      </c>
      <c r="C5" s="4" t="inlineStr">
        <is>
          <t>EQ / FFEQ</t>
        </is>
      </c>
      <c r="D5" s="4" t="n">
        <v>3</v>
      </c>
      <c r="E5" s="4" t="n">
        <v>5</v>
      </c>
      <c r="F5" s="11">
        <f>D5*E5</f>
        <v/>
      </c>
      <c r="G5" s="20" t="inlineStr">
        <is>
          <t>Seismic retrofit completed 2023. FFEQ sub-limit $150M. Sprinkler seismic bracing. DR site in Austin.</t>
        </is>
      </c>
      <c r="H5" s="4" t="inlineStr">
        <is>
          <t>VP Manufacturing</t>
        </is>
      </c>
      <c r="I5" s="4" t="inlineStr">
        <is>
          <t>ACTIVE</t>
        </is>
      </c>
      <c r="J5" s="5" t="n">
        <v>43891</v>
      </c>
      <c r="K5" s="5" t="n">
        <v>46112</v>
      </c>
      <c r="L5" s="20" t="inlineStr">
        <is>
          <t>Hayward Fault proximity — highest exposure</t>
        </is>
      </c>
    </row>
    <row r="6" ht="45" customHeight="1">
      <c r="A6" s="4" t="inlineStr">
        <is>
          <t>TR-002</t>
        </is>
      </c>
      <c r="B6" s="20" t="inlineStr">
        <is>
          <t>Battery thermal runaway / fire at Gigafactory</t>
        </is>
      </c>
      <c r="C6" s="4" t="inlineStr">
        <is>
          <t>FIRE / EXPLOSION</t>
        </is>
      </c>
      <c r="D6" s="4" t="n">
        <v>4</v>
      </c>
      <c r="E6" s="4" t="n">
        <v>5</v>
      </c>
      <c r="F6" s="10">
        <f>D6*E6</f>
        <v/>
      </c>
      <c r="G6" s="20" t="inlineStr">
        <is>
          <t>Thermal monitoring systems. Firebreak walls between cells. $200M fire limit. Fire brigade on-site.</t>
        </is>
      </c>
      <c r="H6" s="4" t="inlineStr">
        <is>
          <t>VP Battery Eng</t>
        </is>
      </c>
      <c r="I6" s="4" t="inlineStr">
        <is>
          <t>ACTIVE</t>
        </is>
      </c>
      <c r="J6" s="5" t="n">
        <v>44348</v>
      </c>
      <c r="K6" s="5" t="n">
        <v>46112</v>
      </c>
      <c r="L6" s="20" t="inlineStr">
        <is>
          <t>Lithium-ion fire risk increasing with scale</t>
        </is>
      </c>
    </row>
    <row r="7" ht="45" customHeight="1">
      <c r="A7" s="4" t="inlineStr">
        <is>
          <t>TR-003</t>
        </is>
      </c>
      <c r="B7" s="20" t="inlineStr">
        <is>
          <t>Autopilot/FSD product liability class action</t>
        </is>
      </c>
      <c r="C7" s="4" t="inlineStr">
        <is>
          <t>PROD-LIAB</t>
        </is>
      </c>
      <c r="D7" s="4" t="n">
        <v>4</v>
      </c>
      <c r="E7" s="4" t="n">
        <v>5</v>
      </c>
      <c r="F7" s="10">
        <f>D7*E7</f>
        <v/>
      </c>
      <c r="G7" s="20" t="inlineStr">
        <is>
          <t>$500M product liability tower. Data logging for every trip. Legal team pre-positioned.</t>
        </is>
      </c>
      <c r="H7" s="4" t="inlineStr">
        <is>
          <t>General Counsel</t>
        </is>
      </c>
      <c r="I7" s="4" t="inlineStr">
        <is>
          <t>ACTIVE</t>
        </is>
      </c>
      <c r="J7" s="5" t="n">
        <v>44576</v>
      </c>
      <c r="K7" s="5" t="n">
        <v>46112</v>
      </c>
      <c r="L7" s="20" t="inlineStr">
        <is>
          <t>Garcia v. Tesla pending — bellwether case</t>
        </is>
      </c>
    </row>
    <row r="8" ht="45" customHeight="1">
      <c r="A8" s="4" t="inlineStr">
        <is>
          <t>TR-004</t>
        </is>
      </c>
      <c r="B8" s="20" t="inlineStr">
        <is>
          <t>Hurricane damage to Austin Gigafactory</t>
        </is>
      </c>
      <c r="C8" s="4" t="inlineStr">
        <is>
          <t>NATCAT-W</t>
        </is>
      </c>
      <c r="D8" s="4" t="n">
        <v>3</v>
      </c>
      <c r="E8" s="4" t="n">
        <v>4</v>
      </c>
      <c r="F8" s="11">
        <f>D8*E8</f>
        <v/>
      </c>
      <c r="G8" s="20" t="inlineStr">
        <is>
          <t>Wind-rated construction. Emergency shutdown procedures. BI waiting period 48hrs.</t>
        </is>
      </c>
      <c r="H8" s="4" t="inlineStr">
        <is>
          <t>Site Director Austin</t>
        </is>
      </c>
      <c r="I8" s="4" t="inlineStr">
        <is>
          <t>ACTIVE</t>
        </is>
      </c>
      <c r="J8" s="5" t="n">
        <v>44440</v>
      </c>
      <c r="K8" s="5" t="n">
        <v>46203</v>
      </c>
      <c r="L8" s="20" t="inlineStr">
        <is>
          <t>Gulf Coast hurricane exposure</t>
        </is>
      </c>
    </row>
    <row r="9" ht="45" customHeight="1">
      <c r="A9" s="4" t="inlineStr">
        <is>
          <t>TR-005</t>
        </is>
      </c>
      <c r="B9" s="20" t="inlineStr">
        <is>
          <t>Supply chain semiconductor shortage</t>
        </is>
      </c>
      <c r="C9" s="4" t="inlineStr">
        <is>
          <t>BI / SUPPLY-CHAIN</t>
        </is>
      </c>
      <c r="D9" s="4" t="n">
        <v>3</v>
      </c>
      <c r="E9" s="4" t="n">
        <v>4</v>
      </c>
      <c r="F9" s="11">
        <f>D9*E9</f>
        <v/>
      </c>
      <c r="G9" s="20" t="inlineStr">
        <is>
          <t>Contingent BI cover. In-house chip design (Dojo). Multi-source agreements.</t>
        </is>
      </c>
      <c r="H9" s="4" t="inlineStr">
        <is>
          <t>VP Supply Chain</t>
        </is>
      </c>
      <c r="I9" s="4" t="inlineStr">
        <is>
          <t>ACTIVE</t>
        </is>
      </c>
      <c r="J9" s="5" t="n">
        <v>44287</v>
      </c>
      <c r="K9" s="5" t="n">
        <v>46112</v>
      </c>
      <c r="L9" s="20" t="inlineStr">
        <is>
          <t>Reduced vs 2022 but still elevated</t>
        </is>
      </c>
    </row>
    <row r="10" ht="45" customHeight="1">
      <c r="A10" s="4" t="inlineStr">
        <is>
          <t>TR-006</t>
        </is>
      </c>
      <c r="B10" s="20" t="inlineStr">
        <is>
          <t>Vehicle cyber-attack / fleet-wide exploit</t>
        </is>
      </c>
      <c r="C10" s="4" t="inlineStr">
        <is>
          <t>CYBER</t>
        </is>
      </c>
      <c r="D10" s="4" t="n">
        <v>3</v>
      </c>
      <c r="E10" s="4" t="n">
        <v>4</v>
      </c>
      <c r="F10" s="11">
        <f>D10*E10</f>
        <v/>
      </c>
      <c r="G10" s="20" t="inlineStr">
        <is>
          <t>Bug bounty programme. OTA patch capability. Cyber insurance $100M. Red team exercises quarterly.</t>
        </is>
      </c>
      <c r="H10" s="4" t="inlineStr">
        <is>
          <t>CISO</t>
        </is>
      </c>
      <c r="I10" s="4" t="inlineStr">
        <is>
          <t>ACTIVE</t>
        </is>
      </c>
      <c r="J10" s="5" t="n">
        <v>44958</v>
      </c>
      <c r="K10" s="5" t="n">
        <v>46112</v>
      </c>
      <c r="L10" s="20" t="inlineStr">
        <is>
          <t>Connected fleet = systemic risk</t>
        </is>
      </c>
    </row>
    <row r="11" ht="45" customHeight="1">
      <c r="A11" s="4" t="inlineStr">
        <is>
          <t>TR-007</t>
        </is>
      </c>
      <c r="B11" s="20" t="inlineStr">
        <is>
          <t>Environmental contamination at manufacturing site</t>
        </is>
      </c>
      <c r="C11" s="4" t="inlineStr">
        <is>
          <t>ENVIRO</t>
        </is>
      </c>
      <c r="D11" s="4" t="n">
        <v>2</v>
      </c>
      <c r="E11" s="4" t="n">
        <v>3</v>
      </c>
      <c r="F11" s="21">
        <f>D11*E11</f>
        <v/>
      </c>
      <c r="G11" s="20" t="inlineStr">
        <is>
          <t>Pollution liability policy. Wastewater treatment. EPA compliance programme.</t>
        </is>
      </c>
      <c r="H11" s="4" t="inlineStr">
        <is>
          <t>VP Environmental</t>
        </is>
      </c>
      <c r="I11" s="4" t="inlineStr">
        <is>
          <t>ACTIVE</t>
        </is>
      </c>
      <c r="J11" s="5" t="n">
        <v>44743</v>
      </c>
      <c r="K11" s="5" t="n">
        <v>46203</v>
      </c>
      <c r="L11" s="20" t="inlineStr">
        <is>
          <t>Grünheide under regulatory scrutiny</t>
        </is>
      </c>
    </row>
    <row r="12" ht="45" customHeight="1">
      <c r="A12" s="4" t="inlineStr">
        <is>
          <t>TR-008</t>
        </is>
      </c>
      <c r="B12" s="20" t="inlineStr">
        <is>
          <t>Battery recall — mass defect across model range</t>
        </is>
      </c>
      <c r="C12" s="4" t="inlineStr">
        <is>
          <t>PROD-RECALL</t>
        </is>
      </c>
      <c r="D12" s="4" t="n">
        <v>2</v>
      </c>
      <c r="E12" s="4" t="n">
        <v>5</v>
      </c>
      <c r="F12" s="21">
        <f>D12*E12</f>
        <v/>
      </c>
      <c r="G12" s="20" t="inlineStr">
        <is>
          <t>Product recall insurance. QC sampling at cell level. Traceability database.</t>
        </is>
      </c>
      <c r="H12" s="4" t="inlineStr">
        <is>
          <t>VP Quality</t>
        </is>
      </c>
      <c r="I12" s="4" t="inlineStr">
        <is>
          <t>ACTIVE</t>
        </is>
      </c>
      <c r="J12" s="5" t="n">
        <v>45231</v>
      </c>
      <c r="K12" s="5" t="n">
        <v>46112</v>
      </c>
      <c r="L12" s="20" t="inlineStr">
        <is>
          <t>Single-cell defect could trigger mass recall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LOSS RATIO — Tesla Inc. — BU2 Industrial &amp; Specialty</t>
        </is>
      </c>
    </row>
    <row r="2">
      <c r="A2" s="2" t="inlineStr">
        <is>
          <t>By Peril Class  |  UW Years 2020–2025  |  USD (000s)</t>
        </is>
      </c>
    </row>
    <row r="4">
      <c r="A4" s="3" t="inlineStr">
        <is>
          <t>Peril Class</t>
        </is>
      </c>
      <c r="B4" s="3" t="inlineStr">
        <is>
          <t>UW Yr</t>
        </is>
      </c>
      <c r="C4" s="3" t="inlineStr">
        <is>
          <t>Earned Premium (000s)</t>
        </is>
      </c>
      <c r="D4" s="3" t="inlineStr">
        <is>
          <t>Incurred Loss (000s)</t>
        </is>
      </c>
      <c r="E4" s="3" t="inlineStr">
        <is>
          <t>Loss Ratio</t>
        </is>
      </c>
      <c r="F4" s="3" t="inlineStr">
        <is>
          <t>Expense Ratio</t>
        </is>
      </c>
      <c r="G4" s="3" t="inlineStr">
        <is>
          <t>Combined Ratio</t>
        </is>
      </c>
      <c r="H4" s="3" t="inlineStr">
        <is>
          <t>Result (000s)</t>
        </is>
      </c>
    </row>
    <row r="5">
      <c r="A5" s="4" t="inlineStr">
        <is>
          <t>PROP/FIRE</t>
        </is>
      </c>
      <c r="B5" s="22" t="n">
        <v>2020</v>
      </c>
      <c r="C5" s="6" t="n">
        <v>18500</v>
      </c>
      <c r="D5" s="6" t="n">
        <v>8200</v>
      </c>
      <c r="E5" s="7">
        <f>D5/C5</f>
        <v/>
      </c>
      <c r="F5" s="7" t="n">
        <v>0.3</v>
      </c>
      <c r="G5" s="7">
        <f>E5+F5</f>
        <v/>
      </c>
      <c r="H5" s="6">
        <f>C5*(1-G5)</f>
        <v/>
      </c>
    </row>
    <row r="6">
      <c r="A6" s="4" t="inlineStr">
        <is>
          <t>PROP/FIRE</t>
        </is>
      </c>
      <c r="B6" s="22" t="n">
        <v>2021</v>
      </c>
      <c r="C6" s="6" t="n">
        <v>21000</v>
      </c>
      <c r="D6" s="6" t="n">
        <v>12500</v>
      </c>
      <c r="E6" s="7">
        <f>D6/C6</f>
        <v/>
      </c>
      <c r="F6" s="7" t="n">
        <v>0.3</v>
      </c>
      <c r="G6" s="7">
        <f>E6+F6</f>
        <v/>
      </c>
      <c r="H6" s="6">
        <f>C6*(1-G6)</f>
        <v/>
      </c>
    </row>
    <row r="7">
      <c r="A7" s="4" t="inlineStr">
        <is>
          <t>PROP/FIRE</t>
        </is>
      </c>
      <c r="B7" s="22" t="n">
        <v>2022</v>
      </c>
      <c r="C7" s="6" t="n">
        <v>24500</v>
      </c>
      <c r="D7" s="6" t="n">
        <v>32000</v>
      </c>
      <c r="E7" s="7">
        <f>D7/C7</f>
        <v/>
      </c>
      <c r="F7" s="7" t="n">
        <v>0.3</v>
      </c>
      <c r="G7" s="7">
        <f>E7+F7</f>
        <v/>
      </c>
      <c r="H7" s="6">
        <f>C7*(1-G7)</f>
        <v/>
      </c>
    </row>
    <row r="8">
      <c r="A8" s="4" t="inlineStr">
        <is>
          <t>PROP/FIRE</t>
        </is>
      </c>
      <c r="B8" s="22" t="n">
        <v>2023</v>
      </c>
      <c r="C8" s="6" t="n">
        <v>28000</v>
      </c>
      <c r="D8" s="6" t="n">
        <v>15800</v>
      </c>
      <c r="E8" s="7">
        <f>D8/C8</f>
        <v/>
      </c>
      <c r="F8" s="7" t="n">
        <v>0.3</v>
      </c>
      <c r="G8" s="7">
        <f>E8+F8</f>
        <v/>
      </c>
      <c r="H8" s="6">
        <f>C8*(1-G8)</f>
        <v/>
      </c>
    </row>
    <row r="9">
      <c r="A9" s="4" t="inlineStr">
        <is>
          <t>PROP/FIRE</t>
        </is>
      </c>
      <c r="B9" s="22" t="n">
        <v>2024</v>
      </c>
      <c r="C9" s="6" t="n">
        <v>32000</v>
      </c>
      <c r="D9" s="6" t="n">
        <v>18200</v>
      </c>
      <c r="E9" s="7">
        <f>D9/C9</f>
        <v/>
      </c>
      <c r="F9" s="7" t="n">
        <v>0.3</v>
      </c>
      <c r="G9" s="7">
        <f>E9+F9</f>
        <v/>
      </c>
      <c r="H9" s="6">
        <f>C9*(1-G9)</f>
        <v/>
      </c>
    </row>
    <row r="10">
      <c r="A10" s="4" t="inlineStr">
        <is>
          <t>PROP/FIRE</t>
        </is>
      </c>
      <c r="B10" s="22" t="n">
        <v>2025</v>
      </c>
      <c r="C10" s="6" t="n">
        <v>36000</v>
      </c>
      <c r="D10" s="6" t="n">
        <v>24500</v>
      </c>
      <c r="E10" s="7">
        <f>D10/C10</f>
        <v/>
      </c>
      <c r="F10" s="7" t="n">
        <v>0.3</v>
      </c>
      <c r="G10" s="7">
        <f>E10+F10</f>
        <v/>
      </c>
      <c r="H10" s="6">
        <f>C10*(1-G10)</f>
        <v/>
      </c>
    </row>
    <row r="11">
      <c r="A11" s="4" t="inlineStr">
        <is>
          <t>EQ/FFEQ</t>
        </is>
      </c>
      <c r="B11" s="22" t="n">
        <v>2020</v>
      </c>
      <c r="C11" s="6" t="n">
        <v>8500</v>
      </c>
      <c r="D11" s="6" t="n">
        <v>1200</v>
      </c>
      <c r="E11" s="7">
        <f>D11/C11</f>
        <v/>
      </c>
      <c r="F11" s="7" t="n">
        <v>0.3</v>
      </c>
      <c r="G11" s="7">
        <f>E11+F11</f>
        <v/>
      </c>
      <c r="H11" s="6">
        <f>C11*(1-G11)</f>
        <v/>
      </c>
    </row>
    <row r="12">
      <c r="A12" s="4" t="inlineStr">
        <is>
          <t>EQ/FFEQ</t>
        </is>
      </c>
      <c r="B12" s="22" t="n">
        <v>2021</v>
      </c>
      <c r="C12" s="6" t="n">
        <v>9800</v>
      </c>
      <c r="D12" s="6" t="n">
        <v>800</v>
      </c>
      <c r="E12" s="7">
        <f>D12/C12</f>
        <v/>
      </c>
      <c r="F12" s="7" t="n">
        <v>0.3</v>
      </c>
      <c r="G12" s="7">
        <f>E12+F12</f>
        <v/>
      </c>
      <c r="H12" s="6">
        <f>C12*(1-G12)</f>
        <v/>
      </c>
    </row>
    <row r="13">
      <c r="A13" s="4" t="inlineStr">
        <is>
          <t>EQ/FFEQ</t>
        </is>
      </c>
      <c r="B13" s="22" t="n">
        <v>2022</v>
      </c>
      <c r="C13" s="6" t="n">
        <v>11200</v>
      </c>
      <c r="D13" s="6" t="n">
        <v>2400</v>
      </c>
      <c r="E13" s="7">
        <f>D13/C13</f>
        <v/>
      </c>
      <c r="F13" s="7" t="n">
        <v>0.3</v>
      </c>
      <c r="G13" s="7">
        <f>E13+F13</f>
        <v/>
      </c>
      <c r="H13" s="6">
        <f>C13*(1-G13)</f>
        <v/>
      </c>
    </row>
    <row r="14">
      <c r="A14" s="4" t="inlineStr">
        <is>
          <t>EQ/FFEQ</t>
        </is>
      </c>
      <c r="B14" s="22" t="n">
        <v>2023</v>
      </c>
      <c r="C14" s="6" t="n">
        <v>12800</v>
      </c>
      <c r="D14" s="6" t="n">
        <v>950</v>
      </c>
      <c r="E14" s="7">
        <f>D14/C14</f>
        <v/>
      </c>
      <c r="F14" s="7" t="n">
        <v>0.3</v>
      </c>
      <c r="G14" s="7">
        <f>E14+F14</f>
        <v/>
      </c>
      <c r="H14" s="6">
        <f>C14*(1-G14)</f>
        <v/>
      </c>
    </row>
    <row r="15">
      <c r="A15" s="4" t="inlineStr">
        <is>
          <t>EQ/FFEQ</t>
        </is>
      </c>
      <c r="B15" s="22" t="n">
        <v>2024</v>
      </c>
      <c r="C15" s="6" t="n">
        <v>14500</v>
      </c>
      <c r="D15" s="6" t="n">
        <v>3200</v>
      </c>
      <c r="E15" s="7">
        <f>D15/C15</f>
        <v/>
      </c>
      <c r="F15" s="7" t="n">
        <v>0.3</v>
      </c>
      <c r="G15" s="7">
        <f>E15+F15</f>
        <v/>
      </c>
      <c r="H15" s="6">
        <f>C15*(1-G15)</f>
        <v/>
      </c>
    </row>
    <row r="16">
      <c r="A16" s="4" t="inlineStr">
        <is>
          <t>EQ/FFEQ</t>
        </is>
      </c>
      <c r="B16" s="22" t="n">
        <v>2025</v>
      </c>
      <c r="C16" s="6" t="n">
        <v>16800</v>
      </c>
      <c r="D16" s="6" t="n">
        <v>168000</v>
      </c>
      <c r="E16" s="7">
        <f>D16/C16</f>
        <v/>
      </c>
      <c r="F16" s="7" t="n">
        <v>0.3</v>
      </c>
      <c r="G16" s="7">
        <f>E16+F16</f>
        <v/>
      </c>
      <c r="H16" s="6">
        <f>C16*(1-G16)</f>
        <v/>
      </c>
    </row>
    <row r="17">
      <c r="A17" s="4" t="inlineStr">
        <is>
          <t>NATCAT-W</t>
        </is>
      </c>
      <c r="B17" s="22" t="n">
        <v>2020</v>
      </c>
      <c r="C17" s="6" t="n">
        <v>5200</v>
      </c>
      <c r="D17" s="6" t="n">
        <v>8500</v>
      </c>
      <c r="E17" s="7">
        <f>D17/C17</f>
        <v/>
      </c>
      <c r="F17" s="7" t="n">
        <v>0.3</v>
      </c>
      <c r="G17" s="7">
        <f>E17+F17</f>
        <v/>
      </c>
      <c r="H17" s="6">
        <f>C17*(1-G17)</f>
        <v/>
      </c>
    </row>
    <row r="18">
      <c r="A18" s="4" t="inlineStr">
        <is>
          <t>NATCAT-W</t>
        </is>
      </c>
      <c r="B18" s="22" t="n">
        <v>2021</v>
      </c>
      <c r="C18" s="6" t="n">
        <v>6000</v>
      </c>
      <c r="D18" s="6" t="n">
        <v>2100</v>
      </c>
      <c r="E18" s="7">
        <f>D18/C18</f>
        <v/>
      </c>
      <c r="F18" s="7" t="n">
        <v>0.3</v>
      </c>
      <c r="G18" s="7">
        <f>E18+F18</f>
        <v/>
      </c>
      <c r="H18" s="6">
        <f>C18*(1-G18)</f>
        <v/>
      </c>
    </row>
    <row r="19">
      <c r="A19" s="4" t="inlineStr">
        <is>
          <t>NATCAT-W</t>
        </is>
      </c>
      <c r="B19" s="22" t="n">
        <v>2022</v>
      </c>
      <c r="C19" s="6" t="n">
        <v>6800</v>
      </c>
      <c r="D19" s="6" t="n">
        <v>12400</v>
      </c>
      <c r="E19" s="7">
        <f>D19/C19</f>
        <v/>
      </c>
      <c r="F19" s="7" t="n">
        <v>0.3</v>
      </c>
      <c r="G19" s="7">
        <f>E19+F19</f>
        <v/>
      </c>
      <c r="H19" s="6">
        <f>C19*(1-G19)</f>
        <v/>
      </c>
    </row>
    <row r="20">
      <c r="A20" s="4" t="inlineStr">
        <is>
          <t>NATCAT-W</t>
        </is>
      </c>
      <c r="B20" s="22" t="n">
        <v>2023</v>
      </c>
      <c r="C20" s="6" t="n">
        <v>7500</v>
      </c>
      <c r="D20" s="6" t="n">
        <v>3800</v>
      </c>
      <c r="E20" s="7">
        <f>D20/C20</f>
        <v/>
      </c>
      <c r="F20" s="7" t="n">
        <v>0.3</v>
      </c>
      <c r="G20" s="7">
        <f>E20+F20</f>
        <v/>
      </c>
      <c r="H20" s="6">
        <f>C20*(1-G20)</f>
        <v/>
      </c>
    </row>
    <row r="21">
      <c r="A21" s="4" t="inlineStr">
        <is>
          <t>NATCAT-W</t>
        </is>
      </c>
      <c r="B21" s="22" t="n">
        <v>2024</v>
      </c>
      <c r="C21" s="6" t="n">
        <v>8200</v>
      </c>
      <c r="D21" s="6" t="n">
        <v>4200</v>
      </c>
      <c r="E21" s="7">
        <f>D21/C21</f>
        <v/>
      </c>
      <c r="F21" s="7" t="n">
        <v>0.3</v>
      </c>
      <c r="G21" s="7">
        <f>E21+F21</f>
        <v/>
      </c>
      <c r="H21" s="6">
        <f>C21*(1-G21)</f>
        <v/>
      </c>
    </row>
    <row r="22">
      <c r="A22" s="4" t="inlineStr">
        <is>
          <t>NATCAT-W</t>
        </is>
      </c>
      <c r="B22" s="22" t="n">
        <v>2025</v>
      </c>
      <c r="C22" s="6" t="n">
        <v>9500</v>
      </c>
      <c r="D22" s="6" t="n">
        <v>56200</v>
      </c>
      <c r="E22" s="7">
        <f>D22/C22</f>
        <v/>
      </c>
      <c r="F22" s="7" t="n">
        <v>0.3</v>
      </c>
      <c r="G22" s="7">
        <f>E22+F22</f>
        <v/>
      </c>
      <c r="H22" s="6">
        <f>C22*(1-G22)</f>
        <v/>
      </c>
    </row>
    <row r="23">
      <c r="A23" s="4" t="inlineStr">
        <is>
          <t>PRODLIAB</t>
        </is>
      </c>
      <c r="B23" s="22" t="n">
        <v>2020</v>
      </c>
      <c r="C23" s="6" t="n">
        <v>12000</v>
      </c>
      <c r="D23" s="6" t="n">
        <v>6800</v>
      </c>
      <c r="E23" s="7">
        <f>D23/C23</f>
        <v/>
      </c>
      <c r="F23" s="7" t="n">
        <v>0.3</v>
      </c>
      <c r="G23" s="7">
        <f>E23+F23</f>
        <v/>
      </c>
      <c r="H23" s="6">
        <f>C23*(1-G23)</f>
        <v/>
      </c>
    </row>
    <row r="24">
      <c r="A24" s="4" t="inlineStr">
        <is>
          <t>PRODLIAB</t>
        </is>
      </c>
      <c r="B24" s="22" t="n">
        <v>2021</v>
      </c>
      <c r="C24" s="6" t="n">
        <v>15500</v>
      </c>
      <c r="D24" s="6" t="n">
        <v>9200</v>
      </c>
      <c r="E24" s="7">
        <f>D24/C24</f>
        <v/>
      </c>
      <c r="F24" s="7" t="n">
        <v>0.3</v>
      </c>
      <c r="G24" s="7">
        <f>E24+F24</f>
        <v/>
      </c>
      <c r="H24" s="6">
        <f>C24*(1-G24)</f>
        <v/>
      </c>
    </row>
    <row r="25">
      <c r="A25" s="4" t="inlineStr">
        <is>
          <t>PRODLIAB</t>
        </is>
      </c>
      <c r="B25" s="22" t="n">
        <v>2022</v>
      </c>
      <c r="C25" s="6" t="n">
        <v>19800</v>
      </c>
      <c r="D25" s="6" t="n">
        <v>14500</v>
      </c>
      <c r="E25" s="7">
        <f>D25/C25</f>
        <v/>
      </c>
      <c r="F25" s="7" t="n">
        <v>0.3</v>
      </c>
      <c r="G25" s="7">
        <f>E25+F25</f>
        <v/>
      </c>
      <c r="H25" s="6">
        <f>C25*(1-G25)</f>
        <v/>
      </c>
    </row>
    <row r="26">
      <c r="A26" s="4" t="inlineStr">
        <is>
          <t>PRODLIAB</t>
        </is>
      </c>
      <c r="B26" s="22" t="n">
        <v>2023</v>
      </c>
      <c r="C26" s="6" t="n">
        <v>24000</v>
      </c>
      <c r="D26" s="6" t="n">
        <v>18200</v>
      </c>
      <c r="E26" s="7">
        <f>D26/C26</f>
        <v/>
      </c>
      <c r="F26" s="7" t="n">
        <v>0.3</v>
      </c>
      <c r="G26" s="7">
        <f>E26+F26</f>
        <v/>
      </c>
      <c r="H26" s="6">
        <f>C26*(1-G26)</f>
        <v/>
      </c>
    </row>
    <row r="27">
      <c r="A27" s="4" t="inlineStr">
        <is>
          <t>PRODLIAB</t>
        </is>
      </c>
      <c r="B27" s="22" t="n">
        <v>2024</v>
      </c>
      <c r="C27" s="6" t="n">
        <v>30000</v>
      </c>
      <c r="D27" s="6" t="n">
        <v>22800</v>
      </c>
      <c r="E27" s="7">
        <f>D27/C27</f>
        <v/>
      </c>
      <c r="F27" s="7" t="n">
        <v>0.3</v>
      </c>
      <c r="G27" s="7">
        <f>E27+F27</f>
        <v/>
      </c>
      <c r="H27" s="6">
        <f>C27*(1-G27)</f>
        <v/>
      </c>
    </row>
    <row r="28">
      <c r="A28" s="4" t="inlineStr">
        <is>
          <t>PRODLIAB</t>
        </is>
      </c>
      <c r="B28" s="22" t="n">
        <v>2025</v>
      </c>
      <c r="C28" s="6" t="n">
        <v>38000</v>
      </c>
      <c r="D28" s="6" t="n">
        <v>52000</v>
      </c>
      <c r="E28" s="7">
        <f>D28/C28</f>
        <v/>
      </c>
      <c r="F28" s="7" t="n">
        <v>0.3</v>
      </c>
      <c r="G28" s="7">
        <f>E28+F28</f>
        <v/>
      </c>
      <c r="H28" s="6">
        <f>C28*(1-G28)</f>
        <v/>
      </c>
    </row>
    <row r="29">
      <c r="A29" s="4" t="inlineStr">
        <is>
          <t>BI/SUPPLY</t>
        </is>
      </c>
      <c r="B29" s="22" t="n">
        <v>2020</v>
      </c>
      <c r="C29" s="6" t="n">
        <v>9500</v>
      </c>
      <c r="D29" s="6" t="n">
        <v>4200</v>
      </c>
      <c r="E29" s="7">
        <f>D29/C29</f>
        <v/>
      </c>
      <c r="F29" s="7" t="n">
        <v>0.3</v>
      </c>
      <c r="G29" s="7">
        <f>E29+F29</f>
        <v/>
      </c>
      <c r="H29" s="6">
        <f>C29*(1-G29)</f>
        <v/>
      </c>
    </row>
    <row r="30">
      <c r="A30" s="4" t="inlineStr">
        <is>
          <t>BI/SUPPLY</t>
        </is>
      </c>
      <c r="B30" s="22" t="n">
        <v>2021</v>
      </c>
      <c r="C30" s="6" t="n">
        <v>11200</v>
      </c>
      <c r="D30" s="6" t="n">
        <v>3500</v>
      </c>
      <c r="E30" s="7">
        <f>D30/C30</f>
        <v/>
      </c>
      <c r="F30" s="7" t="n">
        <v>0.3</v>
      </c>
      <c r="G30" s="7">
        <f>E30+F30</f>
        <v/>
      </c>
      <c r="H30" s="6">
        <f>C30*(1-G30)</f>
        <v/>
      </c>
    </row>
    <row r="31">
      <c r="A31" s="4" t="inlineStr">
        <is>
          <t>BI/SUPPLY</t>
        </is>
      </c>
      <c r="B31" s="22" t="n">
        <v>2022</v>
      </c>
      <c r="C31" s="6" t="n">
        <v>13000</v>
      </c>
      <c r="D31" s="6" t="n">
        <v>9800</v>
      </c>
      <c r="E31" s="7">
        <f>D31/C31</f>
        <v/>
      </c>
      <c r="F31" s="7" t="n">
        <v>0.3</v>
      </c>
      <c r="G31" s="7">
        <f>E31+F31</f>
        <v/>
      </c>
      <c r="H31" s="6">
        <f>C31*(1-G31)</f>
        <v/>
      </c>
    </row>
    <row r="32">
      <c r="A32" s="4" t="inlineStr">
        <is>
          <t>BI/SUPPLY</t>
        </is>
      </c>
      <c r="B32" s="22" t="n">
        <v>2023</v>
      </c>
      <c r="C32" s="6" t="n">
        <v>15500</v>
      </c>
      <c r="D32" s="6" t="n">
        <v>6200</v>
      </c>
      <c r="E32" s="7">
        <f>D32/C32</f>
        <v/>
      </c>
      <c r="F32" s="7" t="n">
        <v>0.3</v>
      </c>
      <c r="G32" s="7">
        <f>E32+F32</f>
        <v/>
      </c>
      <c r="H32" s="6">
        <f>C32*(1-G32)</f>
        <v/>
      </c>
    </row>
    <row r="33">
      <c r="A33" s="4" t="inlineStr">
        <is>
          <t>BI/SUPPLY</t>
        </is>
      </c>
      <c r="B33" s="22" t="n">
        <v>2024</v>
      </c>
      <c r="C33" s="6" t="n">
        <v>18000</v>
      </c>
      <c r="D33" s="6" t="n">
        <v>8500</v>
      </c>
      <c r="E33" s="7">
        <f>D33/C33</f>
        <v/>
      </c>
      <c r="F33" s="7" t="n">
        <v>0.3</v>
      </c>
      <c r="G33" s="7">
        <f>E33+F33</f>
        <v/>
      </c>
      <c r="H33" s="6">
        <f>C33*(1-G33)</f>
        <v/>
      </c>
    </row>
    <row r="34">
      <c r="A34" s="4" t="inlineStr">
        <is>
          <t>BI/SUPPLY</t>
        </is>
      </c>
      <c r="B34" s="22" t="n">
        <v>2025</v>
      </c>
      <c r="C34" s="6" t="n">
        <v>21000</v>
      </c>
      <c r="D34" s="6" t="n">
        <v>98000</v>
      </c>
      <c r="E34" s="7">
        <f>D34/C34</f>
        <v/>
      </c>
      <c r="F34" s="7" t="n">
        <v>0.3</v>
      </c>
      <c r="G34" s="7">
        <f>E34+F34</f>
        <v/>
      </c>
      <c r="H34" s="6">
        <f>C34*(1-G34)</f>
        <v/>
      </c>
    </row>
    <row r="35">
      <c r="A35" s="8" t="inlineStr">
        <is>
          <t>ALL PERILS</t>
        </is>
      </c>
      <c r="C35" s="9">
        <f>SUM(C5:C34)</f>
        <v/>
      </c>
      <c r="D35" s="9">
        <f>SUM(D5:D34)</f>
        <v/>
      </c>
      <c r="E35" s="23">
        <f>D35/C35</f>
        <v/>
      </c>
      <c r="H35" s="9">
        <f>SUM(H5:H34)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CLAIMS RESERVING — Tesla Inc. — BU2</t>
        </is>
      </c>
    </row>
    <row r="2">
      <c r="A2" s="2" t="inlineStr">
        <is>
          <t>As at 31/12/2025  |  USD (000s)  |  Blue = actuary inputs  |  Includes EQ-2025 event reserves</t>
        </is>
      </c>
    </row>
    <row r="4">
      <c r="A4" s="24" t="inlineStr">
        <is>
          <t>A. RESERVE SUMMARY BY PERIL CLASS</t>
        </is>
      </c>
    </row>
    <row r="6">
      <c r="A6" s="3" t="inlineStr">
        <is>
          <t>Peril Class</t>
        </is>
      </c>
      <c r="B6" s="3" t="inlineStr">
        <is>
          <t>Open Events</t>
        </is>
      </c>
      <c r="C6" s="3" t="inlineStr">
        <is>
          <t>Indemnity Paid</t>
        </is>
      </c>
      <c r="D6" s="3" t="inlineStr">
        <is>
          <t>Fees Paid</t>
        </is>
      </c>
      <c r="E6" s="3" t="inlineStr">
        <is>
          <t>O/S Reserve</t>
        </is>
      </c>
      <c r="F6" s="3" t="inlineStr">
        <is>
          <t>IBNR</t>
        </is>
      </c>
      <c r="G6" s="3" t="inlineStr">
        <is>
          <t>Total Incurred</t>
        </is>
      </c>
      <c r="H6" s="3" t="inlineStr">
        <is>
          <t>Total O/S</t>
        </is>
      </c>
      <c r="I6" s="3" t="inlineStr">
        <is>
          <t>Paid %</t>
        </is>
      </c>
      <c r="J6" s="3" t="inlineStr">
        <is>
          <t>Actuary Sign-off</t>
        </is>
      </c>
    </row>
    <row r="7">
      <c r="A7" s="4" t="inlineStr">
        <is>
          <t>EQ/FFEQ</t>
        </is>
      </c>
      <c r="B7" s="4" t="n">
        <v>3</v>
      </c>
      <c r="C7" s="6" t="n">
        <v>73000</v>
      </c>
      <c r="D7" s="6" t="n">
        <v>5000</v>
      </c>
      <c r="E7" s="6" t="n">
        <v>190000</v>
      </c>
      <c r="F7" s="25" t="n">
        <v>43000</v>
      </c>
      <c r="G7" s="6">
        <f>C7+D7+E7+F7</f>
        <v/>
      </c>
      <c r="H7" s="6">
        <f>E7+F7</f>
        <v/>
      </c>
      <c r="I7" s="7">
        <f>(C7+D7)/G7</f>
        <v/>
      </c>
      <c r="J7" s="5" t="n">
        <v>46011</v>
      </c>
    </row>
    <row r="8">
      <c r="A8" s="4" t="inlineStr">
        <is>
          <t>NATCAT-W</t>
        </is>
      </c>
      <c r="B8" s="4" t="n">
        <v>2</v>
      </c>
      <c r="C8" s="6" t="n">
        <v>53500</v>
      </c>
      <c r="D8" s="6" t="n">
        <v>3300</v>
      </c>
      <c r="E8" s="6" t="n">
        <v>97000</v>
      </c>
      <c r="F8" s="25" t="n">
        <v>20000</v>
      </c>
      <c r="G8" s="6">
        <f>C8+D8+E8+F8</f>
        <v/>
      </c>
      <c r="H8" s="6">
        <f>E8+F8</f>
        <v/>
      </c>
      <c r="I8" s="7">
        <f>(C8+D8)/G8</f>
        <v/>
      </c>
      <c r="J8" s="5" t="n">
        <v>46009</v>
      </c>
    </row>
    <row r="9">
      <c r="A9" s="4" t="inlineStr">
        <is>
          <t>PROP/FIRE</t>
        </is>
      </c>
      <c r="B9" s="4" t="n">
        <v>1</v>
      </c>
      <c r="C9" s="6" t="n">
        <v>6800</v>
      </c>
      <c r="D9" s="6" t="n">
        <v>450</v>
      </c>
      <c r="E9" s="6" t="n">
        <v>14000</v>
      </c>
      <c r="F9" s="25" t="n">
        <v>3500</v>
      </c>
      <c r="G9" s="6">
        <f>C9+D9+E9+F9</f>
        <v/>
      </c>
      <c r="H9" s="6">
        <f>E9+F9</f>
        <v/>
      </c>
      <c r="I9" s="7">
        <f>(C9+D9)/G9</f>
        <v/>
      </c>
      <c r="J9" s="5" t="n">
        <v>46006</v>
      </c>
    </row>
    <row r="10">
      <c r="A10" s="4" t="inlineStr">
        <is>
          <t>PRODLIAB</t>
        </is>
      </c>
      <c r="B10" s="4" t="n">
        <v>3</v>
      </c>
      <c r="C10" s="6" t="n">
        <v>50200</v>
      </c>
      <c r="D10" s="6" t="n">
        <v>13100</v>
      </c>
      <c r="E10" s="6" t="n">
        <v>107000</v>
      </c>
      <c r="F10" s="25" t="n">
        <v>49500</v>
      </c>
      <c r="G10" s="6">
        <f>C10+D10+E10+F10</f>
        <v/>
      </c>
      <c r="H10" s="6">
        <f>E10+F10</f>
        <v/>
      </c>
      <c r="I10" s="7">
        <f>(C10+D10)/G10</f>
        <v/>
      </c>
      <c r="J10" s="5" t="n">
        <v>46013</v>
      </c>
    </row>
    <row r="11">
      <c r="A11" s="4" t="inlineStr">
        <is>
          <t>BI/SUPPLY</t>
        </is>
      </c>
      <c r="B11" s="4" t="n">
        <v>2</v>
      </c>
      <c r="C11" s="6" t="n">
        <v>94000</v>
      </c>
      <c r="D11" s="6" t="n">
        <v>5300</v>
      </c>
      <c r="E11" s="6" t="n">
        <v>215000</v>
      </c>
      <c r="F11" s="25" t="n">
        <v>63000</v>
      </c>
      <c r="G11" s="6">
        <f>C11+D11+E11+F11</f>
        <v/>
      </c>
      <c r="H11" s="6">
        <f>E11+F11</f>
        <v/>
      </c>
      <c r="I11" s="7">
        <f>(C11+D11)/G11</f>
        <v/>
      </c>
      <c r="J11" s="5" t="n">
        <v>46010</v>
      </c>
    </row>
    <row r="12">
      <c r="A12" s="4" t="inlineStr">
        <is>
          <t>ENVIRO</t>
        </is>
      </c>
      <c r="B12" s="4" t="n">
        <v>1</v>
      </c>
      <c r="C12" s="6" t="n">
        <v>2200</v>
      </c>
      <c r="D12" s="6" t="n">
        <v>680</v>
      </c>
      <c r="E12" s="6" t="n">
        <v>5500</v>
      </c>
      <c r="F12" s="25" t="n">
        <v>1200</v>
      </c>
      <c r="G12" s="6">
        <f>C12+D12+E12+F12</f>
        <v/>
      </c>
      <c r="H12" s="6">
        <f>E12+F12</f>
        <v/>
      </c>
      <c r="I12" s="7">
        <f>(C12+D12)/G12</f>
        <v/>
      </c>
      <c r="J12" s="5" t="n">
        <v>46007</v>
      </c>
    </row>
    <row r="13">
      <c r="A13" s="4" t="inlineStr">
        <is>
          <t>CYBER</t>
        </is>
      </c>
      <c r="B13" s="4" t="n">
        <v>1</v>
      </c>
      <c r="C13" s="6" t="n">
        <v>3500</v>
      </c>
      <c r="D13" s="6" t="n">
        <v>1200</v>
      </c>
      <c r="E13" s="6" t="n">
        <v>0</v>
      </c>
      <c r="F13" s="25" t="n">
        <v>2000</v>
      </c>
      <c r="G13" s="6">
        <f>C13+D13+E13+F13</f>
        <v/>
      </c>
      <c r="H13" s="6">
        <f>E13+F13</f>
        <v/>
      </c>
      <c r="I13" s="7">
        <f>(C13+D13)/G13</f>
        <v/>
      </c>
      <c r="J13" s="5" t="n">
        <v>46008</v>
      </c>
    </row>
    <row r="14">
      <c r="A14" s="4" t="inlineStr">
        <is>
          <t>WC</t>
        </is>
      </c>
      <c r="B14" s="4" t="n">
        <v>1</v>
      </c>
      <c r="C14" s="6" t="n">
        <v>1850</v>
      </c>
      <c r="D14" s="6" t="n">
        <v>320</v>
      </c>
      <c r="E14" s="6" t="n">
        <v>3200</v>
      </c>
      <c r="F14" s="25" t="n">
        <v>800</v>
      </c>
      <c r="G14" s="6">
        <f>C14+D14+E14+F14</f>
        <v/>
      </c>
      <c r="H14" s="6">
        <f>E14+F14</f>
        <v/>
      </c>
      <c r="I14" s="7">
        <f>(C14+D14)/G14</f>
        <v/>
      </c>
      <c r="J14" s="5" t="n">
        <v>46005</v>
      </c>
    </row>
    <row r="15">
      <c r="A15" s="8" t="inlineStr">
        <is>
          <t>ALL PERILS</t>
        </is>
      </c>
      <c r="B15" s="9">
        <f>SUM(B7:B14)</f>
        <v/>
      </c>
      <c r="C15" s="9">
        <f>SUM(C7:C14)</f>
        <v/>
      </c>
      <c r="D15" s="9">
        <f>SUM(D7:D14)</f>
        <v/>
      </c>
      <c r="E15" s="9">
        <f>SUM(E7:E14)</f>
        <v/>
      </c>
      <c r="F15" s="9">
        <f>SUM(F7:F14)</f>
        <v/>
      </c>
      <c r="G15" s="9">
        <f>SUM(G7:G14)</f>
        <v/>
      </c>
      <c r="H15" s="9">
        <f>SUM(H7:H14)</f>
        <v/>
      </c>
      <c r="I15" s="23">
        <f>(C15+D15)/G15</f>
        <v/>
      </c>
    </row>
    <row r="18">
      <c r="A18" s="24" t="inlineStr">
        <is>
          <t>B. CATASTROPHE EVENT RESERVE DETAIL</t>
        </is>
      </c>
    </row>
    <row r="19">
      <c r="A19" s="3" t="inlineStr">
        <is>
          <t>Event Ref</t>
        </is>
      </c>
      <c r="B19" s="3" t="inlineStr">
        <is>
          <t>Event Description</t>
        </is>
      </c>
      <c r="C19" s="3" t="inlineStr">
        <is>
          <t>Peril</t>
        </is>
      </c>
      <c r="D19" s="3" t="inlineStr">
        <is>
          <t>Indemnity Paid</t>
        </is>
      </c>
      <c r="E19" s="3" t="inlineStr">
        <is>
          <t>Fees</t>
        </is>
      </c>
      <c r="F19" s="3" t="inlineStr">
        <is>
          <t>O/S Reserve</t>
        </is>
      </c>
      <c r="G19" s="3" t="inlineStr">
        <is>
          <t>IBNR</t>
        </is>
      </c>
      <c r="H19" s="3" t="inlineStr">
        <is>
          <t>Total Incurred</t>
        </is>
      </c>
      <c r="I19" s="3" t="inlineStr">
        <is>
          <t>Confidence</t>
        </is>
      </c>
    </row>
    <row r="20">
      <c r="A20" s="4" t="inlineStr">
        <is>
          <t>EVT-2025-EQ-001</t>
        </is>
      </c>
      <c r="B20" s="20" t="inlineStr">
        <is>
          <t>Hayward Fault M6.2 — Fremont (all sub-perils)</t>
        </is>
      </c>
      <c r="C20" s="4" t="inlineStr">
        <is>
          <t>EQ+FFEQ+BI</t>
        </is>
      </c>
      <c r="D20" s="6" t="n">
        <v>167000</v>
      </c>
      <c r="E20" s="6" t="n">
        <v>10300</v>
      </c>
      <c r="F20" s="6" t="n">
        <v>405000</v>
      </c>
      <c r="G20" s="6" t="n">
        <v>106000</v>
      </c>
      <c r="H20" s="6">
        <f>D20+E20+F20+G20</f>
        <v/>
      </c>
      <c r="I20" s="10" t="inlineStr">
        <is>
          <t>Low — still developing</t>
        </is>
      </c>
    </row>
    <row r="21">
      <c r="A21" s="4" t="inlineStr">
        <is>
          <t>EVT-2025-WS-002</t>
        </is>
      </c>
      <c r="B21" s="20" t="inlineStr">
        <is>
          <t>Hurricane Marta — Austin (prop + BI)</t>
        </is>
      </c>
      <c r="C21" s="4" t="inlineStr">
        <is>
          <t>WS+BI</t>
        </is>
      </c>
      <c r="D21" s="6" t="n">
        <v>53500</v>
      </c>
      <c r="E21" s="6" t="n">
        <v>3300</v>
      </c>
      <c r="F21" s="6" t="n">
        <v>97000</v>
      </c>
      <c r="G21" s="6" t="n">
        <v>20000</v>
      </c>
      <c r="H21" s="6">
        <f>D21+E21+F21+G21</f>
        <v/>
      </c>
      <c r="I21" s="11" t="inlineStr">
        <is>
          <t>Medium</t>
        </is>
      </c>
    </row>
    <row r="22">
      <c r="A22" s="4" t="inlineStr">
        <is>
          <t>EVT-2025-PL-003</t>
        </is>
      </c>
      <c r="B22" s="20" t="inlineStr">
        <is>
          <t>Battery thermal runaway — 14 incidents</t>
        </is>
      </c>
      <c r="C22" s="4" t="inlineStr">
        <is>
          <t>PRODLIAB</t>
        </is>
      </c>
      <c r="D22" s="6" t="n">
        <v>8200</v>
      </c>
      <c r="E22" s="6" t="n">
        <v>2800</v>
      </c>
      <c r="F22" s="6" t="n">
        <v>22000</v>
      </c>
      <c r="G22" s="6" t="n">
        <v>9500</v>
      </c>
      <c r="H22" s="6">
        <f>D22+E22+F22+G22</f>
        <v/>
      </c>
      <c r="I22" s="11" t="inlineStr">
        <is>
          <t>Medium</t>
        </is>
      </c>
    </row>
    <row r="23">
      <c r="A23" s="4" t="inlineStr">
        <is>
          <t>EVT-2025-PL-004</t>
        </is>
      </c>
      <c r="B23" s="20" t="inlineStr">
        <is>
          <t>Autopilot class action — Garcia v. Tesla</t>
        </is>
      </c>
      <c r="C23" s="4" t="inlineStr">
        <is>
          <t>PRODLIAB</t>
        </is>
      </c>
      <c r="D23" s="6" t="n">
        <v>0</v>
      </c>
      <c r="E23" s="6" t="n">
        <v>4500</v>
      </c>
      <c r="F23" s="6" t="n">
        <v>85000</v>
      </c>
      <c r="G23" s="6" t="n">
        <v>40000</v>
      </c>
      <c r="H23" s="6">
        <f>D23+E23+F23+G23</f>
        <v/>
      </c>
      <c r="I23" s="10" t="inlineStr">
        <is>
          <t>Low — litigation ongoing</t>
        </is>
      </c>
    </row>
  </sheetData>
  <mergeCells count="4">
    <mergeCell ref="A2:K2"/>
    <mergeCell ref="A1:K1"/>
    <mergeCell ref="A18:K18"/>
    <mergeCell ref="A4:K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PROFITABILITY ANALYSIS — Tesla Inc. — BU2</t>
        </is>
      </c>
    </row>
    <row r="2">
      <c r="A2" s="2" t="inlineStr">
        <is>
          <t>UW Years 2020–2025  |  USD (000s)  |  Net of QS reinsurance</t>
        </is>
      </c>
    </row>
    <row r="4">
      <c r="A4" s="3" t="inlineStr"/>
      <c r="B4" s="3" t="inlineStr">
        <is>
          <t>2020</t>
        </is>
      </c>
      <c r="C4" s="3" t="inlineStr">
        <is>
          <t>2021</t>
        </is>
      </c>
      <c r="D4" s="3" t="inlineStr">
        <is>
          <t>2022</t>
        </is>
      </c>
      <c r="E4" s="3" t="inlineStr">
        <is>
          <t>2023</t>
        </is>
      </c>
      <c r="F4" s="3" t="inlineStr">
        <is>
          <t>2024</t>
        </is>
      </c>
      <c r="G4" s="3" t="inlineStr">
        <is>
          <t>2025</t>
        </is>
      </c>
      <c r="H4" s="3" t="inlineStr">
        <is>
          <t>Total</t>
        </is>
      </c>
    </row>
    <row r="5">
      <c r="A5" s="26" t="inlineStr">
        <is>
          <t>Gross Written Premium</t>
        </is>
      </c>
      <c r="B5" s="27" t="n">
        <v>53700</v>
      </c>
      <c r="C5" s="27" t="n">
        <v>63500</v>
      </c>
      <c r="D5" s="27" t="n">
        <v>75300</v>
      </c>
      <c r="E5" s="27" t="n">
        <v>87800</v>
      </c>
      <c r="F5" s="27" t="n">
        <v>102700</v>
      </c>
      <c r="G5" s="27" t="n">
        <v>121300</v>
      </c>
      <c r="H5" s="28">
        <f>SUM(B5:G5)</f>
        <v/>
      </c>
    </row>
    <row r="6">
      <c r="A6" s="26" t="inlineStr">
        <is>
          <t>QS Cession</t>
        </is>
      </c>
      <c r="B6" s="29" t="n">
        <v>0.32</v>
      </c>
      <c r="C6" s="29" t="n">
        <v>0.32</v>
      </c>
      <c r="D6" s="29" t="n">
        <v>0.34</v>
      </c>
      <c r="E6" s="29" t="n">
        <v>0.34</v>
      </c>
      <c r="F6" s="29" t="n">
        <v>0.36</v>
      </c>
      <c r="G6" s="29" t="n">
        <v>0.36</v>
      </c>
    </row>
    <row r="7">
      <c r="A7" s="26" t="inlineStr">
        <is>
          <t>Net Written Premium</t>
        </is>
      </c>
      <c r="B7" s="27">
        <f>B5*(1-B6)</f>
        <v/>
      </c>
      <c r="C7" s="27">
        <f>C5*(1-C6)</f>
        <v/>
      </c>
      <c r="D7" s="27">
        <f>D5*(1-D6)</f>
        <v/>
      </c>
      <c r="E7" s="27">
        <f>E5*(1-E6)</f>
        <v/>
      </c>
      <c r="F7" s="27">
        <f>F5*(1-F6)</f>
        <v/>
      </c>
      <c r="G7" s="27">
        <f>G5*(1-G6)</f>
        <v/>
      </c>
      <c r="H7" s="28">
        <f>SUM(B7:G7)</f>
        <v/>
      </c>
    </row>
    <row r="8">
      <c r="A8" s="26" t="inlineStr">
        <is>
          <t>Change in UPR</t>
        </is>
      </c>
      <c r="B8" s="25" t="n">
        <v>-1800</v>
      </c>
      <c r="C8" s="25" t="n">
        <v>-2200</v>
      </c>
      <c r="D8" s="25" t="n">
        <v>-2500</v>
      </c>
      <c r="E8" s="25" t="n">
        <v>-2800</v>
      </c>
      <c r="F8" s="25" t="n">
        <v>-3200</v>
      </c>
      <c r="G8" s="25" t="n">
        <v>-3800</v>
      </c>
      <c r="H8" s="28">
        <f>SUM(B8:G8)</f>
        <v/>
      </c>
    </row>
    <row r="9">
      <c r="A9" s="30" t="inlineStr">
        <is>
          <t>Net Earned Premium</t>
        </is>
      </c>
      <c r="B9" s="31">
        <f>B7+B8</f>
        <v/>
      </c>
      <c r="C9" s="31">
        <f>C7+C8</f>
        <v/>
      </c>
      <c r="D9" s="31">
        <f>D7+D8</f>
        <v/>
      </c>
      <c r="E9" s="31">
        <f>E7+E8</f>
        <v/>
      </c>
      <c r="F9" s="31">
        <f>F7+F8</f>
        <v/>
      </c>
      <c r="G9" s="31">
        <f>G7+G8</f>
        <v/>
      </c>
      <c r="H9" s="28">
        <f>SUM(B9:G9)</f>
        <v/>
      </c>
    </row>
    <row r="10">
      <c r="A10" s="26" t="inlineStr"/>
    </row>
    <row r="11">
      <c r="A11" s="26" t="inlineStr">
        <is>
          <t>Net Incurred Losses</t>
        </is>
      </c>
      <c r="B11" s="27" t="n">
        <v>19800</v>
      </c>
      <c r="C11" s="27" t="n">
        <v>19100</v>
      </c>
      <c r="D11" s="27" t="n">
        <v>47200</v>
      </c>
      <c r="E11" s="27" t="n">
        <v>29500</v>
      </c>
      <c r="F11" s="27" t="n">
        <v>34800</v>
      </c>
      <c r="G11" s="27" t="n">
        <v>258000</v>
      </c>
      <c r="H11" s="28">
        <f>SUM(B11:G11)</f>
        <v/>
      </c>
    </row>
    <row r="12">
      <c r="A12" s="26" t="inlineStr">
        <is>
          <t>Acquisition Costs</t>
        </is>
      </c>
      <c r="B12" s="27">
        <f>B9*0.16</f>
        <v/>
      </c>
      <c r="C12" s="27">
        <f>C9*0.16</f>
        <v/>
      </c>
      <c r="D12" s="27">
        <f>D9*0.16</f>
        <v/>
      </c>
      <c r="E12" s="27">
        <f>E9*0.16</f>
        <v/>
      </c>
      <c r="F12" s="27">
        <f>F9*0.16</f>
        <v/>
      </c>
      <c r="G12" s="27">
        <f>G9*0.16</f>
        <v/>
      </c>
      <c r="H12" s="28">
        <f>SUM(B12:G12)</f>
        <v/>
      </c>
    </row>
    <row r="13">
      <c r="A13" s="26" t="inlineStr">
        <is>
          <t>Admin Expenses</t>
        </is>
      </c>
      <c r="B13" s="27">
        <f>B9*0.10</f>
        <v/>
      </c>
      <c r="C13" s="27">
        <f>C9*0.10</f>
        <v/>
      </c>
      <c r="D13" s="27">
        <f>D9*0.10</f>
        <v/>
      </c>
      <c r="E13" s="27">
        <f>E9*0.10</f>
        <v/>
      </c>
      <c r="F13" s="27">
        <f>F9*0.10</f>
        <v/>
      </c>
      <c r="G13" s="27">
        <f>G9*0.10</f>
        <v/>
      </c>
      <c r="H13" s="28">
        <f>SUM(B13:G13)</f>
        <v/>
      </c>
    </row>
    <row r="14">
      <c r="A14" s="30" t="inlineStr">
        <is>
          <t>Total Underwriting Costs</t>
        </is>
      </c>
      <c r="B14" s="31">
        <f>B11+B12+B13</f>
        <v/>
      </c>
      <c r="C14" s="31">
        <f>C11+C12+C13</f>
        <v/>
      </c>
      <c r="D14" s="31">
        <f>D11+D12+D13</f>
        <v/>
      </c>
      <c r="E14" s="31">
        <f>E11+E12+E13</f>
        <v/>
      </c>
      <c r="F14" s="31">
        <f>F11+F12+F13</f>
        <v/>
      </c>
      <c r="G14" s="31">
        <f>G11+G12+G13</f>
        <v/>
      </c>
      <c r="H14" s="28">
        <f>SUM(B14:G14)</f>
        <v/>
      </c>
    </row>
    <row r="15">
      <c r="A15" s="26" t="inlineStr"/>
    </row>
    <row r="16">
      <c r="A16" s="30" t="inlineStr">
        <is>
          <t>Underwriting Result</t>
        </is>
      </c>
      <c r="B16" s="31">
        <f>B9-B14</f>
        <v/>
      </c>
      <c r="C16" s="31">
        <f>C9-C14</f>
        <v/>
      </c>
      <c r="D16" s="31">
        <f>D9-D14</f>
        <v/>
      </c>
      <c r="E16" s="31">
        <f>E9-E14</f>
        <v/>
      </c>
      <c r="F16" s="31">
        <f>F9-F14</f>
        <v/>
      </c>
      <c r="G16" s="31">
        <f>G9-G14</f>
        <v/>
      </c>
      <c r="H16" s="28">
        <f>SUM(B16:G16)</f>
        <v/>
      </c>
    </row>
    <row r="17">
      <c r="A17" s="26" t="inlineStr">
        <is>
          <t>Investment Income</t>
        </is>
      </c>
      <c r="B17" s="25" t="n">
        <v>1800</v>
      </c>
      <c r="C17" s="25" t="n">
        <v>1600</v>
      </c>
      <c r="D17" s="25" t="n">
        <v>2100</v>
      </c>
      <c r="E17" s="25" t="n">
        <v>2400</v>
      </c>
      <c r="F17" s="25" t="n">
        <v>2800</v>
      </c>
      <c r="G17" s="25" t="n">
        <v>3200</v>
      </c>
      <c r="H17" s="28">
        <f>SUM(B17:G17)</f>
        <v/>
      </c>
    </row>
    <row r="18">
      <c r="A18" s="30" t="inlineStr">
        <is>
          <t>Pre-Tax Result</t>
        </is>
      </c>
      <c r="B18" s="31">
        <f>B16+B17</f>
        <v/>
      </c>
      <c r="C18" s="31">
        <f>C16+C17</f>
        <v/>
      </c>
      <c r="D18" s="31">
        <f>D16+D17</f>
        <v/>
      </c>
      <c r="E18" s="31">
        <f>E16+E17</f>
        <v/>
      </c>
      <c r="F18" s="31">
        <f>F16+F17</f>
        <v/>
      </c>
      <c r="G18" s="31">
        <f>G16+G17</f>
        <v/>
      </c>
      <c r="H18" s="28">
        <f>SUM(B18:G18)</f>
        <v/>
      </c>
    </row>
    <row r="21">
      <c r="A21" s="24" t="inlineStr">
        <is>
          <t>KEY RATIOS</t>
        </is>
      </c>
    </row>
    <row r="22">
      <c r="A22" s="3" t="inlineStr"/>
      <c r="B22" s="3" t="inlineStr">
        <is>
          <t>2020</t>
        </is>
      </c>
      <c r="C22" s="3" t="inlineStr">
        <is>
          <t>2021</t>
        </is>
      </c>
      <c r="D22" s="3" t="inlineStr">
        <is>
          <t>2022</t>
        </is>
      </c>
      <c r="E22" s="3" t="inlineStr">
        <is>
          <t>2023</t>
        </is>
      </c>
      <c r="F22" s="3" t="inlineStr">
        <is>
          <t>2024</t>
        </is>
      </c>
      <c r="G22" s="3" t="inlineStr">
        <is>
          <t>2025</t>
        </is>
      </c>
    </row>
    <row r="23">
      <c r="A23" s="26" t="inlineStr">
        <is>
          <t>Net Loss Ratio</t>
        </is>
      </c>
      <c r="B23" s="32">
        <f>B11/B9</f>
        <v/>
      </c>
      <c r="C23" s="32">
        <f>C11/C9</f>
        <v/>
      </c>
      <c r="D23" s="32">
        <f>D11/D9</f>
        <v/>
      </c>
      <c r="E23" s="32">
        <f>E11/E9</f>
        <v/>
      </c>
      <c r="F23" s="32">
        <f>F11/F9</f>
        <v/>
      </c>
      <c r="G23" s="32">
        <f>G11/G9</f>
        <v/>
      </c>
    </row>
    <row r="24">
      <c r="A24" s="26" t="inlineStr">
        <is>
          <t>Expense Ratio</t>
        </is>
      </c>
      <c r="B24" s="32">
        <f>(B12+B13)/B9</f>
        <v/>
      </c>
      <c r="C24" s="32">
        <f>(C12+C13)/C9</f>
        <v/>
      </c>
      <c r="D24" s="32">
        <f>(D12+D13)/D9</f>
        <v/>
      </c>
      <c r="E24" s="32">
        <f>(E12+E13)/E9</f>
        <v/>
      </c>
      <c r="F24" s="32">
        <f>(F12+F13)/F9</f>
        <v/>
      </c>
      <c r="G24" s="32">
        <f>(G12+G13)/G9</f>
        <v/>
      </c>
    </row>
    <row r="25">
      <c r="A25" s="30" t="inlineStr">
        <is>
          <t>Combined Ratio</t>
        </is>
      </c>
      <c r="B25" s="32">
        <f>B23+B24</f>
        <v/>
      </c>
      <c r="C25" s="32">
        <f>C23+C24</f>
        <v/>
      </c>
      <c r="D25" s="32">
        <f>D23+D24</f>
        <v/>
      </c>
      <c r="E25" s="32">
        <f>E23+E24</f>
        <v/>
      </c>
      <c r="F25" s="32">
        <f>F23+F24</f>
        <v/>
      </c>
      <c r="G25" s="32">
        <f>G23+G24</f>
        <v/>
      </c>
    </row>
  </sheetData>
  <mergeCells count="3">
    <mergeCell ref="A21:H21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INDICATIVE RATING — Tesla Inc. — 2026 Renewal</t>
        </is>
      </c>
    </row>
    <row r="2">
      <c r="A2" s="2" t="inlineStr">
        <is>
          <t>BU2 Industrial &amp; Specialty  |  USD (000s)  |  Blue = adjustable inputs</t>
        </is>
      </c>
    </row>
    <row r="4">
      <c r="A4" s="24" t="inlineStr">
        <is>
          <t>RATING PARAMETERS</t>
        </is>
      </c>
    </row>
    <row r="6">
      <c r="A6" s="3" t="inlineStr">
        <is>
          <t>Parameter</t>
        </is>
      </c>
      <c r="B6" s="3" t="inlineStr">
        <is>
          <t>Value</t>
        </is>
      </c>
    </row>
    <row r="7">
      <c r="A7" s="26" t="inlineStr">
        <is>
          <t>Base Rate — Manufacturing Property</t>
        </is>
      </c>
      <c r="B7" s="33" t="n">
        <v>0.0055</v>
      </c>
    </row>
    <row r="8">
      <c r="A8" s="26" t="inlineStr">
        <is>
          <t>Base Rate — EQ (CA Zone 4)</t>
        </is>
      </c>
      <c r="B8" s="33" t="n">
        <v>0.012</v>
      </c>
    </row>
    <row r="9">
      <c r="A9" s="26" t="inlineStr">
        <is>
          <t>Base Rate — FFEQ</t>
        </is>
      </c>
      <c r="B9" s="33" t="n">
        <v>0.0035</v>
      </c>
    </row>
    <row r="10">
      <c r="A10" s="26" t="inlineStr">
        <is>
          <t>Base Rate — Wind (TX Gulf)</t>
        </is>
      </c>
      <c r="B10" s="33" t="n">
        <v>0.0045</v>
      </c>
    </row>
    <row r="11">
      <c r="A11" s="26" t="inlineStr">
        <is>
          <t>Base Rate — Product Liability</t>
        </is>
      </c>
      <c r="B11" s="33" t="n">
        <v>0.0095</v>
      </c>
    </row>
    <row r="12">
      <c r="A12" s="26" t="inlineStr">
        <is>
          <t>Base Rate — BI / Supply Chain</t>
        </is>
      </c>
      <c r="B12" s="33" t="n">
        <v>0.0042</v>
      </c>
    </row>
    <row r="13">
      <c r="A13" s="26" t="inlineStr">
        <is>
          <t>Experience Modification (3yr)</t>
        </is>
      </c>
      <c r="B13" s="34" t="n">
        <v>1.15</v>
      </c>
    </row>
    <row r="14">
      <c r="A14" s="26" t="inlineStr">
        <is>
          <t>CAT Load (EQ + Wind aggregate)</t>
        </is>
      </c>
      <c r="B14" s="35" t="n">
        <v>0.22</v>
      </c>
    </row>
    <row r="15">
      <c r="A15" s="26" t="inlineStr">
        <is>
          <t>Large Loss Surcharge</t>
        </is>
      </c>
      <c r="B15" s="35" t="n">
        <v>0.1</v>
      </c>
    </row>
    <row r="16">
      <c r="A16" s="26" t="inlineStr">
        <is>
          <t>Market Hardening Factor</t>
        </is>
      </c>
      <c r="B16" s="34" t="n">
        <v>1.25</v>
      </c>
    </row>
    <row r="17">
      <c r="A17" s="26" t="inlineStr">
        <is>
          <t>NCD (where eligible)</t>
        </is>
      </c>
      <c r="B17" s="33" t="n">
        <v>0</v>
      </c>
    </row>
    <row r="18">
      <c r="A18" s="26" t="inlineStr">
        <is>
          <t>Brokerage + RI Load</t>
        </is>
      </c>
      <c r="B18" s="35" t="n">
        <v>0.2</v>
      </c>
    </row>
    <row r="21">
      <c r="A21" s="24" t="inlineStr">
        <is>
          <t>RISK-LEVEL PRICING</t>
        </is>
      </c>
    </row>
    <row r="22">
      <c r="A22" s="3" t="inlineStr">
        <is>
          <t>Risk</t>
        </is>
      </c>
      <c r="B22" s="3" t="inlineStr">
        <is>
          <t>Peril</t>
        </is>
      </c>
      <c r="C22" s="3" t="inlineStr">
        <is>
          <t>Exposure (000s)</t>
        </is>
      </c>
      <c r="D22" s="3" t="inlineStr">
        <is>
          <t>Base Rate</t>
        </is>
      </c>
      <c r="E22" s="3" t="inlineStr">
        <is>
          <t>Burning Cost Prem</t>
        </is>
      </c>
      <c r="F22" s="3" t="inlineStr">
        <is>
          <t>Experience Loaded</t>
        </is>
      </c>
      <c r="G22" s="3" t="inlineStr">
        <is>
          <t>CAT + Large Loss Loaded</t>
        </is>
      </c>
      <c r="H22" s="3" t="inlineStr">
        <is>
          <t>Market Adjusted</t>
        </is>
      </c>
      <c r="I22" s="3" t="inlineStr">
        <is>
          <t>Distribution Loaded</t>
        </is>
      </c>
      <c r="J22" s="3" t="inlineStr">
        <is>
          <t>Expiring Prem</t>
        </is>
      </c>
      <c r="K22" s="3" t="inlineStr">
        <is>
          <t>Rate Change</t>
        </is>
      </c>
    </row>
    <row r="23">
      <c r="A23" s="4" t="inlineStr">
        <is>
          <t>Fremont Factory</t>
        </is>
      </c>
      <c r="B23" s="4" t="inlineStr">
        <is>
          <t>PROP</t>
        </is>
      </c>
      <c r="C23" s="25" t="n">
        <v>8250000</v>
      </c>
      <c r="D23" s="36">
        <f>$B$7</f>
        <v/>
      </c>
      <c r="E23" s="6">
        <f>C23*D23</f>
        <v/>
      </c>
      <c r="F23" s="6">
        <f>E23*$B$13</f>
        <v/>
      </c>
      <c r="G23" s="6">
        <f>F23*(1+$B$14+$B$15)</f>
        <v/>
      </c>
      <c r="H23" s="6">
        <f>G23*$B$16</f>
        <v/>
      </c>
      <c r="I23" s="6">
        <f>H23*(1+$B$18)</f>
        <v/>
      </c>
      <c r="J23" s="25" t="n">
        <v>41000</v>
      </c>
      <c r="K23" s="7">
        <f>(I23-J23)/J23</f>
        <v/>
      </c>
    </row>
    <row r="24">
      <c r="A24" s="4" t="inlineStr">
        <is>
          <t>Austin Gigafactory</t>
        </is>
      </c>
      <c r="B24" s="4" t="inlineStr">
        <is>
          <t>PROP</t>
        </is>
      </c>
      <c r="C24" s="25" t="n">
        <v>9700000</v>
      </c>
      <c r="D24" s="36">
        <f>$B$7</f>
        <v/>
      </c>
      <c r="E24" s="6">
        <f>C24*D24</f>
        <v/>
      </c>
      <c r="F24" s="6">
        <f>E24*$B$13</f>
        <v/>
      </c>
      <c r="G24" s="6">
        <f>F24*(1+$B$14+$B$15)</f>
        <v/>
      </c>
      <c r="H24" s="6">
        <f>G24*$B$16</f>
        <v/>
      </c>
      <c r="I24" s="6">
        <f>H24*(1+$B$18)</f>
        <v/>
      </c>
      <c r="J24" s="25" t="n">
        <v>48000</v>
      </c>
      <c r="K24" s="7">
        <f>(I24-J24)/J24</f>
        <v/>
      </c>
    </row>
    <row r="25">
      <c r="A25" s="4" t="inlineStr">
        <is>
          <t>Nevada Gigafactory</t>
        </is>
      </c>
      <c r="B25" s="4" t="inlineStr">
        <is>
          <t>PROP</t>
        </is>
      </c>
      <c r="C25" s="25" t="n">
        <v>8520000</v>
      </c>
      <c r="D25" s="36">
        <f>$B$7</f>
        <v/>
      </c>
      <c r="E25" s="6">
        <f>C25*D25</f>
        <v/>
      </c>
      <c r="F25" s="6">
        <f>E25*$B$13</f>
        <v/>
      </c>
      <c r="G25" s="6">
        <f>F25*(1+$B$14+$B$15)</f>
        <v/>
      </c>
      <c r="H25" s="6">
        <f>G25*$B$16</f>
        <v/>
      </c>
      <c r="I25" s="6">
        <f>H25*(1+$B$18)</f>
        <v/>
      </c>
      <c r="J25" s="25" t="n">
        <v>38000</v>
      </c>
      <c r="K25" s="7">
        <f>(I25-J25)/J25</f>
        <v/>
      </c>
    </row>
    <row r="26">
      <c r="A26" s="4" t="inlineStr">
        <is>
          <t>Berlin Gigafactory</t>
        </is>
      </c>
      <c r="B26" s="4" t="inlineStr">
        <is>
          <t>PROP</t>
        </is>
      </c>
      <c r="C26" s="25" t="n">
        <v>10680000</v>
      </c>
      <c r="D26" s="36">
        <f>$B$7</f>
        <v/>
      </c>
      <c r="E26" s="6">
        <f>C26*D26</f>
        <v/>
      </c>
      <c r="F26" s="6">
        <f>E26*$B$13</f>
        <v/>
      </c>
      <c r="G26" s="6">
        <f>F26*(1+$B$14+$B$15)</f>
        <v/>
      </c>
      <c r="H26" s="6">
        <f>G26*$B$16</f>
        <v/>
      </c>
      <c r="I26" s="6">
        <f>H26*(1+$B$18)</f>
        <v/>
      </c>
      <c r="J26" s="25" t="n">
        <v>52000</v>
      </c>
      <c r="K26" s="7">
        <f>(I26-J26)/J26</f>
        <v/>
      </c>
    </row>
    <row r="27">
      <c r="A27" s="4" t="inlineStr">
        <is>
          <t>Shanghai Gigafactory</t>
        </is>
      </c>
      <c r="B27" s="4" t="inlineStr">
        <is>
          <t>PROP</t>
        </is>
      </c>
      <c r="C27" s="25" t="n">
        <v>13850000</v>
      </c>
      <c r="D27" s="36">
        <f>$B$7</f>
        <v/>
      </c>
      <c r="E27" s="6">
        <f>C27*D27</f>
        <v/>
      </c>
      <c r="F27" s="6">
        <f>E27*$B$13</f>
        <v/>
      </c>
      <c r="G27" s="6">
        <f>F27*(1+$B$14+$B$15)</f>
        <v/>
      </c>
      <c r="H27" s="6">
        <f>G27*$B$16</f>
        <v/>
      </c>
      <c r="I27" s="6">
        <f>H27*(1+$B$18)</f>
        <v/>
      </c>
      <c r="J27" s="25" t="n">
        <v>62000</v>
      </c>
      <c r="K27" s="7">
        <f>(I27-J27)/J27</f>
        <v/>
      </c>
    </row>
    <row r="28">
      <c r="A28" s="4" t="inlineStr">
        <is>
          <t>Fremont — EQ</t>
        </is>
      </c>
      <c r="B28" s="4" t="inlineStr">
        <is>
          <t>EQ</t>
        </is>
      </c>
      <c r="C28" s="25" t="n">
        <v>8250000</v>
      </c>
      <c r="D28" s="36">
        <f>$B$8</f>
        <v/>
      </c>
      <c r="E28" s="6">
        <f>C28*D28</f>
        <v/>
      </c>
      <c r="F28" s="6">
        <f>E28*$B$13</f>
        <v/>
      </c>
      <c r="G28" s="6">
        <f>F28*(1+$B$14+$B$15)</f>
        <v/>
      </c>
      <c r="H28" s="6">
        <f>G28*$B$16</f>
        <v/>
      </c>
      <c r="I28" s="6">
        <f>H28*(1+$B$18)</f>
        <v/>
      </c>
      <c r="J28" s="25" t="n">
        <v>85000</v>
      </c>
      <c r="K28" s="7">
        <f>(I28-J28)/J28</f>
        <v/>
      </c>
    </row>
    <row r="29">
      <c r="A29" s="4" t="inlineStr">
        <is>
          <t>HQ — EQ</t>
        </is>
      </c>
      <c r="B29" s="4" t="inlineStr">
        <is>
          <t>EQ</t>
        </is>
      </c>
      <c r="C29" s="25" t="n">
        <v>785000</v>
      </c>
      <c r="D29" s="36">
        <f>$B$8</f>
        <v/>
      </c>
      <c r="E29" s="6">
        <f>C29*D29</f>
        <v/>
      </c>
      <c r="F29" s="6">
        <f>E29*$B$13</f>
        <v/>
      </c>
      <c r="G29" s="6">
        <f>F29*(1+$B$14+$B$15)</f>
        <v/>
      </c>
      <c r="H29" s="6">
        <f>G29*$B$16</f>
        <v/>
      </c>
      <c r="I29" s="6">
        <f>H29*(1+$B$18)</f>
        <v/>
      </c>
      <c r="J29" s="25" t="n">
        <v>8500</v>
      </c>
      <c r="K29" s="7">
        <f>(I29-J29)/J29</f>
        <v/>
      </c>
    </row>
    <row r="30">
      <c r="A30" s="4" t="inlineStr">
        <is>
          <t>Fremont — FFEQ</t>
        </is>
      </c>
      <c r="B30" s="4" t="inlineStr">
        <is>
          <t>FFEQ</t>
        </is>
      </c>
      <c r="C30" s="25" t="n">
        <v>8250000</v>
      </c>
      <c r="D30" s="36">
        <f>$B$9</f>
        <v/>
      </c>
      <c r="E30" s="6">
        <f>C30*D30</f>
        <v/>
      </c>
      <c r="F30" s="6">
        <f>E30*$B$13</f>
        <v/>
      </c>
      <c r="G30" s="6">
        <f>F30*(1+$B$14+$B$15)</f>
        <v/>
      </c>
      <c r="H30" s="6">
        <f>G30*$B$16</f>
        <v/>
      </c>
      <c r="I30" s="6">
        <f>H30*(1+$B$18)</f>
        <v/>
      </c>
      <c r="J30" s="25" t="n">
        <v>24000</v>
      </c>
      <c r="K30" s="7">
        <f>(I30-J30)/J30</f>
        <v/>
      </c>
    </row>
    <row r="31">
      <c r="A31" s="4" t="inlineStr">
        <is>
          <t>Austin — Wind</t>
        </is>
      </c>
      <c r="B31" s="4" t="inlineStr">
        <is>
          <t>WIND</t>
        </is>
      </c>
      <c r="C31" s="25" t="n">
        <v>9700000</v>
      </c>
      <c r="D31" s="36">
        <f>$B$10</f>
        <v/>
      </c>
      <c r="E31" s="6">
        <f>C31*D31</f>
        <v/>
      </c>
      <c r="F31" s="6">
        <f>E31*$B$13</f>
        <v/>
      </c>
      <c r="G31" s="6">
        <f>F31*(1+$B$14+$B$15)</f>
        <v/>
      </c>
      <c r="H31" s="6">
        <f>G31*$B$16</f>
        <v/>
      </c>
      <c r="I31" s="6">
        <f>H31*(1+$B$18)</f>
        <v/>
      </c>
      <c r="J31" s="25" t="n">
        <v>38000</v>
      </c>
      <c r="K31" s="7">
        <f>(I31-J31)/J31</f>
        <v/>
      </c>
    </row>
    <row r="32">
      <c r="A32" s="4" t="inlineStr">
        <is>
          <t>Product Liab — Auto</t>
        </is>
      </c>
      <c r="B32" s="4" t="inlineStr">
        <is>
          <t>PRODLIAB</t>
        </is>
      </c>
      <c r="C32" s="25" t="n">
        <v>6500000</v>
      </c>
      <c r="D32" s="36">
        <f>$B$11</f>
        <v/>
      </c>
      <c r="E32" s="6">
        <f>C32*D32</f>
        <v/>
      </c>
      <c r="F32" s="6">
        <f>E32*$B$13</f>
        <v/>
      </c>
      <c r="G32" s="6">
        <f>F32*(1+$B$14+$B$15)</f>
        <v/>
      </c>
      <c r="H32" s="6">
        <f>G32*$B$16</f>
        <v/>
      </c>
      <c r="I32" s="6">
        <f>H32*(1+$B$18)</f>
        <v/>
      </c>
      <c r="J32" s="25" t="n">
        <v>55000</v>
      </c>
      <c r="K32" s="7">
        <f>(I32-J32)/J32</f>
        <v/>
      </c>
    </row>
    <row r="33">
      <c r="A33" s="4" t="inlineStr">
        <is>
          <t>Product Liab — Autopilot</t>
        </is>
      </c>
      <c r="B33" s="4" t="inlineStr">
        <is>
          <t>PRODLIAB</t>
        </is>
      </c>
      <c r="C33" s="25" t="n">
        <v>3000000</v>
      </c>
      <c r="D33" s="36">
        <f>$B$11</f>
        <v/>
      </c>
      <c r="E33" s="6">
        <f>C33*D33</f>
        <v/>
      </c>
      <c r="F33" s="6">
        <f>E33*$B$13</f>
        <v/>
      </c>
      <c r="G33" s="6">
        <f>F33*(1+$B$14+$B$15)</f>
        <v/>
      </c>
      <c r="H33" s="6">
        <f>G33*$B$16</f>
        <v/>
      </c>
      <c r="I33" s="6">
        <f>H33*(1+$B$18)</f>
        <v/>
      </c>
      <c r="J33" s="25" t="n">
        <v>28000</v>
      </c>
      <c r="K33" s="7">
        <f>(I33-J33)/J33</f>
        <v/>
      </c>
    </row>
    <row r="34">
      <c r="A34" s="4" t="inlineStr">
        <is>
          <t>BI — Global</t>
        </is>
      </c>
      <c r="B34" s="4" t="inlineStr">
        <is>
          <t>BI</t>
        </is>
      </c>
      <c r="C34" s="25" t="n">
        <v>28500000</v>
      </c>
      <c r="D34" s="36">
        <f>$B$12</f>
        <v/>
      </c>
      <c r="E34" s="6">
        <f>C34*D34</f>
        <v/>
      </c>
      <c r="F34" s="6">
        <f>E34*$B$13</f>
        <v/>
      </c>
      <c r="G34" s="6">
        <f>F34*(1+$B$14+$B$15)</f>
        <v/>
      </c>
      <c r="H34" s="6">
        <f>G34*$B$16</f>
        <v/>
      </c>
      <c r="I34" s="6">
        <f>H34*(1+$B$18)</f>
        <v/>
      </c>
      <c r="J34" s="25" t="n">
        <v>105000</v>
      </c>
      <c r="K34" s="7">
        <f>(I34-J34)/J34</f>
        <v/>
      </c>
    </row>
    <row r="35">
      <c r="A35" s="8" t="inlineStr">
        <is>
          <t>TOTAL PROGRAMME</t>
        </is>
      </c>
      <c r="C35" s="9">
        <f>SUM(C23:C34)</f>
        <v/>
      </c>
      <c r="E35" s="9">
        <f>SUM(E23:E34)</f>
        <v/>
      </c>
      <c r="F35" s="9">
        <f>SUM(F23:F34)</f>
        <v/>
      </c>
      <c r="G35" s="9">
        <f>SUM(G23:G34)</f>
        <v/>
      </c>
      <c r="H35" s="9">
        <f>SUM(H23:H34)</f>
        <v/>
      </c>
      <c r="I35" s="9">
        <f>SUM(I23:I34)</f>
        <v/>
      </c>
      <c r="J35" s="9">
        <f>SUM(J23:J34)</f>
        <v/>
      </c>
      <c r="K35" s="23">
        <f>(I35-J35)/J35</f>
        <v/>
      </c>
    </row>
  </sheetData>
  <mergeCells count="4">
    <mergeCell ref="A2:K2"/>
    <mergeCell ref="A1:K1"/>
    <mergeCell ref="A4:D4"/>
    <mergeCell ref="A21:K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2026-02-19T14:48:56Z</dcterms:created>
  <dcterms:modified xmlns:dcterms="http://purl.org/dc/terms/" xmlns:xsi="http://www.w3.org/2001/XMLSchema-instance" xsi:type="dcterms:W3CDTF">2026-02-19T14:48:56Z</dcterms:modified>
</cp:coreProperties>
</file>