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eshWeaver\samples\Graph\content\FutuRe\EuropeRe\Submission\"/>
    </mc:Choice>
  </mc:AlternateContent>
  <xr:revisionPtr revIDLastSave="0" documentId="8_{7101D787-9FCD-4F74-81D7-7D12193015F7}" xr6:coauthVersionLast="47" xr6:coauthVersionMax="47" xr10:uidLastSave="{00000000-0000-0000-0000-000000000000}"/>
  <bookViews>
    <workbookView xWindow="-110" yWindow="-110" windowWidth="25180" windowHeight="16860" xr2:uid="{CA9C4C18-1318-433E-85C4-68A14DEB6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</calcChain>
</file>

<file path=xl/sharedStrings.xml><?xml version="1.0" encoding="utf-8"?>
<sst xmlns="http://schemas.openxmlformats.org/spreadsheetml/2006/main" count="1247" uniqueCount="101">
  <si>
    <t>Large Losses Sample Dataset (Reporting Threshold: €500,000)</t>
  </si>
  <si>
    <t>Accident Years 2016–2025 | Frequency: Poisson(5) per AY | Severity: Lognormal</t>
  </si>
  <si>
    <t>ClaimID</t>
  </si>
  <si>
    <t>AccidentYear</t>
  </si>
  <si>
    <t>DevelopmentYear</t>
  </si>
  <si>
    <t>ValuationYear</t>
  </si>
  <si>
    <t>AccidentDate</t>
  </si>
  <si>
    <t>ReportedDate</t>
  </si>
  <si>
    <t>LineOfBusiness</t>
  </si>
  <si>
    <t>CauseOfLoss</t>
  </si>
  <si>
    <t>Region</t>
  </si>
  <si>
    <t>PolicyLimitEUR</t>
  </si>
  <si>
    <t>AttachmentEUR</t>
  </si>
  <si>
    <t>UltimateLossEUR</t>
  </si>
  <si>
    <t>CumIncurredEUR</t>
  </si>
  <si>
    <t>CumPaidEUR</t>
  </si>
  <si>
    <t>CaseReserveEUR</t>
  </si>
  <si>
    <t>ReportedFlag</t>
  </si>
  <si>
    <t>ClosedFlag</t>
  </si>
  <si>
    <t>CLM-2016-0001</t>
  </si>
  <si>
    <t>Aviation</t>
  </si>
  <si>
    <t>Equipment Failure</t>
  </si>
  <si>
    <t>DE</t>
  </si>
  <si>
    <t>CLM-2016-0002</t>
  </si>
  <si>
    <t>Energy</t>
  </si>
  <si>
    <t>NL</t>
  </si>
  <si>
    <t>CLM-2016-0003</t>
  </si>
  <si>
    <t>Property</t>
  </si>
  <si>
    <t>Liability</t>
  </si>
  <si>
    <t>ES</t>
  </si>
  <si>
    <t>CLM-2016-0004</t>
  </si>
  <si>
    <t>Fire</t>
  </si>
  <si>
    <t>CH</t>
  </si>
  <si>
    <t>CLM-2016-0005</t>
  </si>
  <si>
    <t>Flood</t>
  </si>
  <si>
    <t>CLM-2016-0006</t>
  </si>
  <si>
    <t>Casualty</t>
  </si>
  <si>
    <t>AT</t>
  </si>
  <si>
    <t>CLM-2016-0007</t>
  </si>
  <si>
    <t>FR</t>
  </si>
  <si>
    <t>CLM-2017-0008</t>
  </si>
  <si>
    <t>Marine</t>
  </si>
  <si>
    <t>Explosion</t>
  </si>
  <si>
    <t>CLM-2017-0009</t>
  </si>
  <si>
    <t>CLM-2017-0010</t>
  </si>
  <si>
    <t>CLM-2017-0011</t>
  </si>
  <si>
    <t>CLM-2017-0012</t>
  </si>
  <si>
    <t>Collision</t>
  </si>
  <si>
    <t>CLM-2017-0013</t>
  </si>
  <si>
    <t>CLM-2018-0014</t>
  </si>
  <si>
    <t>CLM-2018-0015</t>
  </si>
  <si>
    <t>IT</t>
  </si>
  <si>
    <t>CLM-2018-0016</t>
  </si>
  <si>
    <t>CLM-2019-0017</t>
  </si>
  <si>
    <t>CLM-2019-0018</t>
  </si>
  <si>
    <t>CLM-2019-0019</t>
  </si>
  <si>
    <t>CLM-2019-0020</t>
  </si>
  <si>
    <t>CLM-2020-0021</t>
  </si>
  <si>
    <t>Windstorm</t>
  </si>
  <si>
    <t>CLM-2020-0022</t>
  </si>
  <si>
    <t>CLM-2020-0023</t>
  </si>
  <si>
    <t>CLM-2020-0024</t>
  </si>
  <si>
    <t>BE</t>
  </si>
  <si>
    <t>CLM-2020-0025</t>
  </si>
  <si>
    <t>CLM-2020-0026</t>
  </si>
  <si>
    <t>CLM-2020-0027</t>
  </si>
  <si>
    <t>CLM-2020-0028</t>
  </si>
  <si>
    <t>CLM-2020-0029</t>
  </si>
  <si>
    <t>CLM-2021-0030</t>
  </si>
  <si>
    <t>CLM-2021-0031</t>
  </si>
  <si>
    <t>CLM-2021-0032</t>
  </si>
  <si>
    <t>CLM-2022-0033</t>
  </si>
  <si>
    <t>CLM-2022-0034</t>
  </si>
  <si>
    <t>CLM-2022-0035</t>
  </si>
  <si>
    <t>CLM-2022-0036</t>
  </si>
  <si>
    <t>CLM-2022-0037</t>
  </si>
  <si>
    <t>CLM-2022-0038</t>
  </si>
  <si>
    <t>CLM-2022-0039</t>
  </si>
  <si>
    <t>CLM-2023-0040</t>
  </si>
  <si>
    <t>CLM-2023-0041</t>
  </si>
  <si>
    <t>CLM-2023-0042</t>
  </si>
  <si>
    <t>CLM-2023-0043</t>
  </si>
  <si>
    <t>CLM-2023-0044</t>
  </si>
  <si>
    <t>CLM-2024-0045</t>
  </si>
  <si>
    <t>CLM-2024-0046</t>
  </si>
  <si>
    <t>CLM-2024-0047</t>
  </si>
  <si>
    <t>CLM-2024-0048</t>
  </si>
  <si>
    <t>CLM-2024-0049</t>
  </si>
  <si>
    <t>CLM-2024-0050</t>
  </si>
  <si>
    <t>CLM-2024-0051</t>
  </si>
  <si>
    <t>CLM-2025-0052</t>
  </si>
  <si>
    <t>CLM-2025-0053</t>
  </si>
  <si>
    <t>CLM-2025-0054</t>
  </si>
  <si>
    <t>📌 Dataset Quick Stats</t>
  </si>
  <si>
    <t>Reporting threshold</t>
  </si>
  <si>
    <t>Accident year range</t>
  </si>
  <si>
    <t>Total development rows</t>
  </si>
  <si>
    <t>Distinct claims</t>
  </si>
  <si>
    <t>Average ultimate</t>
  </si>
  <si>
    <t>Minimum ultimate</t>
  </si>
  <si>
    <t>Maximum ultimate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</si>
</sst>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€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555555"/>
      <name val="Aptos Narrow"/>
      <family val="2"/>
      <scheme val="minor"/>
    </font>
    <font>
      <b/>
      <sz val="12"/>
      <color rgb="FF1F2937"/>
      <name val="Aptos Narrow"/>
      <family val="2"/>
      <scheme val="minor"/>
    </font>
    <font>
      <sz val="11"/>
      <color rgb="FF1F2937"/>
      <name val="Aptos Narrow"/>
      <family val="2"/>
      <scheme val="minor"/>
    </font>
    <font>
      <b/>
      <sz val="11"/>
      <color rgb="FF1F293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9FC"/>
        <bgColor indexed="64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2" borderId="1" xfId="0" applyFont="1" applyFill="1" applyBorder="1"/>
    <xf numFmtId="0" fontId="5" fillId="2" borderId="2" xfId="0" applyFont="1" applyFill="1" applyBorder="1"/>
    <xf numFmtId="0" fontId="6" fillId="2" borderId="3" xfId="0" applyFont="1" applyFill="1" applyBorder="1"/>
    <xf numFmtId="165" fontId="5" fillId="2" borderId="4" xfId="0" applyNumberFormat="1" applyFont="1" applyFill="1" applyBorder="1"/>
    <xf numFmtId="1" fontId="5" fillId="2" borderId="4" xfId="0" applyNumberFormat="1" applyFont="1" applyFill="1" applyBorder="1"/>
    <xf numFmtId="0" fontId="6" fillId="2" borderId="5" xfId="0" applyFont="1" applyFill="1" applyBorder="1"/>
    <xf numFmtId="165" fontId="5" fillId="2" borderId="6" xfId="0" applyNumberFormat="1" applyFont="1" applyFill="1" applyBorder="1"/>
  </cellXfs>
  <cellStyles count="1">
    <cellStyle name="Normal" xfId="0" builtinId="0"/>
  </cellStyles>
  <dxfs count="14">
    <dxf>
      <numFmt numFmtId="1" formatCode="0"/>
    </dxf>
    <dxf>
      <numFmt numFmtId="1" formatCode="0"/>
    </dxf>
    <dxf>
      <numFmt numFmtId="165" formatCode="\€#,##0"/>
    </dxf>
    <dxf>
      <numFmt numFmtId="165" formatCode="\€#,##0"/>
    </dxf>
    <dxf>
      <numFmt numFmtId="165" formatCode="\€#,##0"/>
    </dxf>
    <dxf>
      <numFmt numFmtId="165" formatCode="\€#,##0"/>
    </dxf>
    <dxf>
      <numFmt numFmtId="165" formatCode="\€#,##0"/>
    </dxf>
    <dxf>
      <numFmt numFmtId="165" formatCode="\€#,##0"/>
    </dxf>
    <dxf>
      <numFmt numFmtId="164" formatCode="yyyy\-mm\-dd"/>
    </dxf>
    <dxf>
      <numFmt numFmtId="164" formatCode="yyyy\-mm\-dd"/>
    </dxf>
    <dxf>
      <numFmt numFmtId="1" formatCode="0"/>
    </dxf>
    <dxf>
      <numFmt numFmtId="1" formatCode="0"/>
    </dxf>
    <dxf>
      <numFmt numFmtId="1" formatCode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16D3E-9FE7-4DCF-ADEB-E26EA9D196D0}" name="LargeLosses" displayName="LargeLosses" ref="A3:Q308" totalsRowShown="0" headerRowDxfId="13">
  <autoFilter ref="A3:Q308" xr:uid="{63A16D3E-9FE7-4DCF-ADEB-E26EA9D196D0}"/>
  <tableColumns count="17">
    <tableColumn id="1" xr3:uid="{EFD1613E-B251-4470-A155-CC5A99774EF0}" name="ClaimID"/>
    <tableColumn id="2" xr3:uid="{18DE674A-E945-497B-9F3B-8E0202116B54}" name="AccidentYear" dataDxfId="12"/>
    <tableColumn id="3" xr3:uid="{2633A5B8-33D1-4518-B9A3-21A3E4635918}" name="DevelopmentYear" dataDxfId="11"/>
    <tableColumn id="4" xr3:uid="{A645F175-8DD4-4AA8-92A4-D7FC70B4683D}" name="ValuationYear" dataDxfId="10"/>
    <tableColumn id="5" xr3:uid="{EEBD36CE-A8F6-42C8-B5F9-31392A384122}" name="AccidentDate" dataDxfId="9"/>
    <tableColumn id="6" xr3:uid="{7D2EB5CA-F5C4-4C0E-A0A6-B36CFA09DC9F}" name="ReportedDate" dataDxfId="8"/>
    <tableColumn id="7" xr3:uid="{74F68868-54CE-4AF7-B2CB-1B0D814EC722}" name="LineOfBusiness"/>
    <tableColumn id="8" xr3:uid="{AE960B5E-9137-465A-B939-34E77D78A5FC}" name="CauseOfLoss"/>
    <tableColumn id="9" xr3:uid="{CCFC34A4-9E8A-407A-AAC1-164ABE04B6BF}" name="Region"/>
    <tableColumn id="10" xr3:uid="{F58A2991-5480-42BB-A8F9-3F9BFED52DEF}" name="PolicyLimitEUR" dataDxfId="7"/>
    <tableColumn id="11" xr3:uid="{867967C6-BBF5-4094-B714-AD507CAD1CFF}" name="AttachmentEUR" dataDxfId="6"/>
    <tableColumn id="12" xr3:uid="{6EE4F857-2FE9-4F03-B5A0-6BE0E2841FE9}" name="UltimateLossEUR" dataDxfId="5"/>
    <tableColumn id="13" xr3:uid="{2A8A17FF-7CA1-4AC6-BC54-F0D1528FA9BF}" name="CumIncurredEUR" dataDxfId="4"/>
    <tableColumn id="14" xr3:uid="{A4CC5A7C-F969-4279-BAB4-3708A4997A44}" name="CumPaidEUR" dataDxfId="3"/>
    <tableColumn id="15" xr3:uid="{65A66E32-CAB5-4915-9563-78F1F253672D}" name="CaseReserveEUR" dataDxfId="2"/>
    <tableColumn id="16" xr3:uid="{C5277BD6-069A-410C-A513-8BD9C22495D9}" name="ReportedFlag" dataDxfId="1"/>
    <tableColumn id="17" xr3:uid="{313E575A-1E6A-4F95-952B-3FF78F8A5ABA}" name="ClosedFla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A7A7-2171-49CF-81FD-F3627B866769}">
  <dimension ref="A1:T308"/>
  <sheetViews>
    <sheetView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6.90625" bestFit="1" customWidth="1"/>
    <col min="2" max="2" width="14.26953125" bestFit="1" customWidth="1"/>
    <col min="3" max="3" width="18.08984375" bestFit="1" customWidth="1"/>
    <col min="4" max="4" width="14.81640625" bestFit="1" customWidth="1"/>
    <col min="5" max="5" width="14.453125" bestFit="1" customWidth="1"/>
    <col min="6" max="6" width="14.6328125" bestFit="1" customWidth="1"/>
    <col min="7" max="7" width="16.1796875" bestFit="1" customWidth="1"/>
    <col min="8" max="8" width="15.453125" bestFit="1" customWidth="1"/>
    <col min="9" max="9" width="8.81640625" bestFit="1" customWidth="1"/>
    <col min="10" max="10" width="16" bestFit="1" customWidth="1"/>
    <col min="11" max="11" width="16.453125" bestFit="1" customWidth="1"/>
    <col min="12" max="12" width="17.6328125" bestFit="1" customWidth="1"/>
    <col min="13" max="13" width="17.7265625" bestFit="1" customWidth="1"/>
    <col min="14" max="14" width="14.26953125" bestFit="1" customWidth="1"/>
    <col min="15" max="15" width="17.453125" bestFit="1" customWidth="1"/>
    <col min="16" max="16" width="14.1796875" bestFit="1" customWidth="1"/>
    <col min="17" max="17" width="12.36328125" bestFit="1" customWidth="1"/>
    <col min="19" max="19" width="22.453125" bestFit="1" customWidth="1"/>
    <col min="20" max="20" width="10.90625" bestFit="1" customWidth="1"/>
  </cols>
  <sheetData>
    <row r="1" spans="1:20" ht="18.5" x14ac:dyDescent="0.45">
      <c r="A1" s="2" t="s">
        <v>0</v>
      </c>
      <c r="S1" s="7" t="s">
        <v>93</v>
      </c>
      <c r="T1" s="8"/>
    </row>
    <row r="2" spans="1:20" x14ac:dyDescent="0.35">
      <c r="A2" s="3" t="s">
        <v>1</v>
      </c>
      <c r="S2" s="9" t="s">
        <v>94</v>
      </c>
      <c r="T2" s="10">
        <f>500000</f>
        <v>500000</v>
      </c>
    </row>
    <row r="3" spans="1:20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S3" s="9" t="s">
        <v>95</v>
      </c>
      <c r="T3" s="11" t="str">
        <f>MIN(LargeLosses[AccidentYear])&amp;"–"&amp;MAX(LargeLosses[AccidentYear])</f>
        <v>2016–2025</v>
      </c>
    </row>
    <row r="4" spans="1:20" x14ac:dyDescent="0.35">
      <c r="A4" t="s">
        <v>19</v>
      </c>
      <c r="B4" s="4">
        <v>2016</v>
      </c>
      <c r="C4" s="4">
        <v>0</v>
      </c>
      <c r="D4" s="4">
        <v>2025</v>
      </c>
      <c r="E4" s="5">
        <v>42651</v>
      </c>
      <c r="F4" s="5">
        <v>42747</v>
      </c>
      <c r="G4" t="s">
        <v>20</v>
      </c>
      <c r="H4" t="s">
        <v>21</v>
      </c>
      <c r="I4" t="s">
        <v>22</v>
      </c>
      <c r="J4" s="6">
        <v>972000</v>
      </c>
      <c r="K4" s="6">
        <v>208000</v>
      </c>
      <c r="L4" s="6">
        <v>726669.50365944195</v>
      </c>
      <c r="M4" s="6">
        <v>240662.35901958722</v>
      </c>
      <c r="N4" s="6">
        <v>24066.235901958724</v>
      </c>
      <c r="O4" s="6">
        <v>216596.12311762851</v>
      </c>
      <c r="P4" s="4">
        <v>1</v>
      </c>
      <c r="Q4" s="4">
        <v>0</v>
      </c>
      <c r="S4" s="9" t="s">
        <v>96</v>
      </c>
      <c r="T4" s="11">
        <f>ROWS(LargeLosses[ClaimID])</f>
        <v>305</v>
      </c>
    </row>
    <row r="5" spans="1:20" x14ac:dyDescent="0.35">
      <c r="A5" t="s">
        <v>19</v>
      </c>
      <c r="B5" s="4">
        <v>2016</v>
      </c>
      <c r="C5" s="4">
        <v>1</v>
      </c>
      <c r="D5" s="4">
        <v>2025</v>
      </c>
      <c r="E5" s="5">
        <v>42651</v>
      </c>
      <c r="F5" s="5">
        <v>42747</v>
      </c>
      <c r="G5" t="s">
        <v>20</v>
      </c>
      <c r="H5" t="s">
        <v>21</v>
      </c>
      <c r="I5" t="s">
        <v>22</v>
      </c>
      <c r="J5" s="6">
        <v>972000</v>
      </c>
      <c r="K5" s="6">
        <v>208000</v>
      </c>
      <c r="L5" s="6">
        <v>726669.50365944195</v>
      </c>
      <c r="M5" s="6">
        <v>347659.3706868958</v>
      </c>
      <c r="N5" s="6">
        <v>104297.81120606874</v>
      </c>
      <c r="O5" s="6">
        <v>243361.55948082707</v>
      </c>
      <c r="P5" s="4">
        <v>1</v>
      </c>
      <c r="Q5" s="4">
        <v>0</v>
      </c>
      <c r="S5" s="9" t="s">
        <v>97</v>
      </c>
      <c r="T5" s="10">
        <f>COUNTA(_xlfn.UNIQUE(LargeLosses[ClaimID]))</f>
        <v>54</v>
      </c>
    </row>
    <row r="6" spans="1:20" x14ac:dyDescent="0.35">
      <c r="A6" t="s">
        <v>19</v>
      </c>
      <c r="B6" s="4">
        <v>2016</v>
      </c>
      <c r="C6" s="4">
        <v>2</v>
      </c>
      <c r="D6" s="4">
        <v>2025</v>
      </c>
      <c r="E6" s="5">
        <v>42651</v>
      </c>
      <c r="F6" s="5">
        <v>42747</v>
      </c>
      <c r="G6" t="s">
        <v>20</v>
      </c>
      <c r="H6" t="s">
        <v>21</v>
      </c>
      <c r="I6" t="s">
        <v>22</v>
      </c>
      <c r="J6" s="6">
        <v>972000</v>
      </c>
      <c r="K6" s="6">
        <v>208000</v>
      </c>
      <c r="L6" s="6">
        <v>726669.50365944195</v>
      </c>
      <c r="M6" s="6">
        <v>467664.14334306633</v>
      </c>
      <c r="N6" s="6">
        <v>210448.86450437986</v>
      </c>
      <c r="O6" s="6">
        <v>257215.27883868647</v>
      </c>
      <c r="P6" s="4">
        <v>1</v>
      </c>
      <c r="Q6" s="4">
        <v>0</v>
      </c>
      <c r="S6" s="9" t="s">
        <v>98</v>
      </c>
      <c r="T6" s="10">
        <f>AVERAGE(LargeLosses[UltimateLossEUR])</f>
        <v>1556555.7405199131</v>
      </c>
    </row>
    <row r="7" spans="1:20" x14ac:dyDescent="0.35">
      <c r="A7" t="s">
        <v>19</v>
      </c>
      <c r="B7" s="4">
        <v>2016</v>
      </c>
      <c r="C7" s="4">
        <v>3</v>
      </c>
      <c r="D7" s="4">
        <v>2025</v>
      </c>
      <c r="E7" s="5">
        <v>42651</v>
      </c>
      <c r="F7" s="5">
        <v>42747</v>
      </c>
      <c r="G7" t="s">
        <v>20</v>
      </c>
      <c r="H7" t="s">
        <v>21</v>
      </c>
      <c r="I7" t="s">
        <v>22</v>
      </c>
      <c r="J7" s="6">
        <v>972000</v>
      </c>
      <c r="K7" s="6">
        <v>208000</v>
      </c>
      <c r="L7" s="6">
        <v>726669.50365944195</v>
      </c>
      <c r="M7" s="6">
        <v>522509.14082522888</v>
      </c>
      <c r="N7" s="6">
        <v>522509.14082522888</v>
      </c>
      <c r="O7" s="6">
        <v>0</v>
      </c>
      <c r="P7" s="4">
        <v>1</v>
      </c>
      <c r="Q7" s="4">
        <v>1</v>
      </c>
      <c r="S7" s="9" t="s">
        <v>99</v>
      </c>
      <c r="T7" s="10">
        <f>MIN(LargeLosses[UltimateLossEUR])</f>
        <v>501885.11236345232</v>
      </c>
    </row>
    <row r="8" spans="1:20" x14ac:dyDescent="0.35">
      <c r="A8" t="s">
        <v>19</v>
      </c>
      <c r="B8" s="4">
        <v>2016</v>
      </c>
      <c r="C8" s="4">
        <v>4</v>
      </c>
      <c r="D8" s="4">
        <v>2025</v>
      </c>
      <c r="E8" s="5">
        <v>42651</v>
      </c>
      <c r="F8" s="5">
        <v>42747</v>
      </c>
      <c r="G8" t="s">
        <v>20</v>
      </c>
      <c r="H8" t="s">
        <v>21</v>
      </c>
      <c r="I8" t="s">
        <v>22</v>
      </c>
      <c r="J8" s="6">
        <v>972000</v>
      </c>
      <c r="K8" s="6">
        <v>208000</v>
      </c>
      <c r="L8" s="6">
        <v>726669.50365944195</v>
      </c>
      <c r="M8" s="6">
        <v>627314.82585671695</v>
      </c>
      <c r="N8" s="6">
        <v>627314.82585671695</v>
      </c>
      <c r="O8" s="6">
        <v>0</v>
      </c>
      <c r="P8" s="4">
        <v>1</v>
      </c>
      <c r="Q8" s="4">
        <v>1</v>
      </c>
      <c r="S8" s="12" t="s">
        <v>100</v>
      </c>
      <c r="T8" s="13">
        <f>MAX(LargeLosses[UltimateLossEUR])</f>
        <v>10539337.97956188</v>
      </c>
    </row>
    <row r="9" spans="1:20" x14ac:dyDescent="0.35">
      <c r="A9" t="s">
        <v>19</v>
      </c>
      <c r="B9" s="4">
        <v>2016</v>
      </c>
      <c r="C9" s="4">
        <v>5</v>
      </c>
      <c r="D9" s="4">
        <v>2025</v>
      </c>
      <c r="E9" s="5">
        <v>42651</v>
      </c>
      <c r="F9" s="5">
        <v>42747</v>
      </c>
      <c r="G9" t="s">
        <v>20</v>
      </c>
      <c r="H9" t="s">
        <v>21</v>
      </c>
      <c r="I9" t="s">
        <v>22</v>
      </c>
      <c r="J9" s="6">
        <v>972000</v>
      </c>
      <c r="K9" s="6">
        <v>208000</v>
      </c>
      <c r="L9" s="6">
        <v>726669.50365944195</v>
      </c>
      <c r="M9" s="6">
        <v>643558.86156222341</v>
      </c>
      <c r="N9" s="6">
        <v>643558.86156222341</v>
      </c>
      <c r="O9" s="6">
        <v>0</v>
      </c>
      <c r="P9" s="4">
        <v>1</v>
      </c>
      <c r="Q9" s="4">
        <v>1</v>
      </c>
    </row>
    <row r="10" spans="1:20" x14ac:dyDescent="0.35">
      <c r="A10" t="s">
        <v>19</v>
      </c>
      <c r="B10" s="4">
        <v>2016</v>
      </c>
      <c r="C10" s="4">
        <v>6</v>
      </c>
      <c r="D10" s="4">
        <v>2025</v>
      </c>
      <c r="E10" s="5">
        <v>42651</v>
      </c>
      <c r="F10" s="5">
        <v>42747</v>
      </c>
      <c r="G10" t="s">
        <v>20</v>
      </c>
      <c r="H10" t="s">
        <v>21</v>
      </c>
      <c r="I10" t="s">
        <v>22</v>
      </c>
      <c r="J10" s="6">
        <v>972000</v>
      </c>
      <c r="K10" s="6">
        <v>208000</v>
      </c>
      <c r="L10" s="6">
        <v>726669.50365944195</v>
      </c>
      <c r="M10" s="6">
        <v>671320.41072990152</v>
      </c>
      <c r="N10" s="6">
        <v>671320.41072990152</v>
      </c>
      <c r="O10" s="6">
        <v>0</v>
      </c>
      <c r="P10" s="4">
        <v>1</v>
      </c>
      <c r="Q10" s="4">
        <v>1</v>
      </c>
    </row>
    <row r="11" spans="1:20" x14ac:dyDescent="0.35">
      <c r="A11" t="s">
        <v>19</v>
      </c>
      <c r="B11" s="4">
        <v>2016</v>
      </c>
      <c r="C11" s="4">
        <v>7</v>
      </c>
      <c r="D11" s="4">
        <v>2025</v>
      </c>
      <c r="E11" s="5">
        <v>42651</v>
      </c>
      <c r="F11" s="5">
        <v>42747</v>
      </c>
      <c r="G11" t="s">
        <v>20</v>
      </c>
      <c r="H11" t="s">
        <v>21</v>
      </c>
      <c r="I11" t="s">
        <v>22</v>
      </c>
      <c r="J11" s="6">
        <v>972000</v>
      </c>
      <c r="K11" s="6">
        <v>208000</v>
      </c>
      <c r="L11" s="6">
        <v>726669.50365944195</v>
      </c>
      <c r="M11" s="6">
        <v>726669.50365944195</v>
      </c>
      <c r="N11" s="6">
        <v>726669.50365944195</v>
      </c>
      <c r="O11" s="6">
        <v>0</v>
      </c>
      <c r="P11" s="4">
        <v>1</v>
      </c>
      <c r="Q11" s="4">
        <v>1</v>
      </c>
    </row>
    <row r="12" spans="1:20" x14ac:dyDescent="0.35">
      <c r="A12" t="s">
        <v>19</v>
      </c>
      <c r="B12" s="4">
        <v>2016</v>
      </c>
      <c r="C12" s="4">
        <v>8</v>
      </c>
      <c r="D12" s="4">
        <v>2025</v>
      </c>
      <c r="E12" s="5">
        <v>42651</v>
      </c>
      <c r="F12" s="5">
        <v>42747</v>
      </c>
      <c r="G12" t="s">
        <v>20</v>
      </c>
      <c r="H12" t="s">
        <v>21</v>
      </c>
      <c r="I12" t="s">
        <v>22</v>
      </c>
      <c r="J12" s="6">
        <v>972000</v>
      </c>
      <c r="K12" s="6">
        <v>208000</v>
      </c>
      <c r="L12" s="6">
        <v>726669.50365944195</v>
      </c>
      <c r="M12" s="6">
        <v>726669.50365944195</v>
      </c>
      <c r="N12" s="6">
        <v>726669.50365944195</v>
      </c>
      <c r="O12" s="6">
        <v>0</v>
      </c>
      <c r="P12" s="4">
        <v>1</v>
      </c>
      <c r="Q12" s="4">
        <v>1</v>
      </c>
    </row>
    <row r="13" spans="1:20" x14ac:dyDescent="0.35">
      <c r="A13" t="s">
        <v>19</v>
      </c>
      <c r="B13" s="4">
        <v>2016</v>
      </c>
      <c r="C13" s="4">
        <v>9</v>
      </c>
      <c r="D13" s="4">
        <v>2025</v>
      </c>
      <c r="E13" s="5">
        <v>42651</v>
      </c>
      <c r="F13" s="5">
        <v>42747</v>
      </c>
      <c r="G13" t="s">
        <v>20</v>
      </c>
      <c r="H13" t="s">
        <v>21</v>
      </c>
      <c r="I13" t="s">
        <v>22</v>
      </c>
      <c r="J13" s="6">
        <v>972000</v>
      </c>
      <c r="K13" s="6">
        <v>208000</v>
      </c>
      <c r="L13" s="6">
        <v>726669.50365944195</v>
      </c>
      <c r="M13" s="6">
        <v>726669.50365944195</v>
      </c>
      <c r="N13" s="6">
        <v>726669.50365944195</v>
      </c>
      <c r="O13" s="6">
        <v>0</v>
      </c>
      <c r="P13" s="4">
        <v>1</v>
      </c>
      <c r="Q13" s="4">
        <v>1</v>
      </c>
    </row>
    <row r="14" spans="1:20" x14ac:dyDescent="0.35">
      <c r="A14" t="s">
        <v>23</v>
      </c>
      <c r="B14" s="4">
        <v>2016</v>
      </c>
      <c r="C14" s="4">
        <v>0</v>
      </c>
      <c r="D14" s="4">
        <v>2025</v>
      </c>
      <c r="E14" s="5">
        <v>42619</v>
      </c>
      <c r="F14" s="5">
        <v>42635</v>
      </c>
      <c r="G14" t="s">
        <v>24</v>
      </c>
      <c r="H14" t="s">
        <v>21</v>
      </c>
      <c r="I14" t="s">
        <v>25</v>
      </c>
      <c r="J14" s="6">
        <v>809000</v>
      </c>
      <c r="K14" s="6">
        <v>221000</v>
      </c>
      <c r="L14" s="6">
        <v>548287.95692529948</v>
      </c>
      <c r="M14" s="6">
        <v>169961.02001468188</v>
      </c>
      <c r="N14" s="6">
        <v>16996.102001468189</v>
      </c>
      <c r="O14" s="6">
        <v>152964.9180132137</v>
      </c>
      <c r="P14" s="4">
        <v>1</v>
      </c>
      <c r="Q14" s="4">
        <v>0</v>
      </c>
    </row>
    <row r="15" spans="1:20" x14ac:dyDescent="0.35">
      <c r="A15" t="s">
        <v>23</v>
      </c>
      <c r="B15" s="4">
        <v>2016</v>
      </c>
      <c r="C15" s="4">
        <v>1</v>
      </c>
      <c r="D15" s="4">
        <v>2025</v>
      </c>
      <c r="E15" s="5">
        <v>42619</v>
      </c>
      <c r="F15" s="5">
        <v>42635</v>
      </c>
      <c r="G15" t="s">
        <v>24</v>
      </c>
      <c r="H15" t="s">
        <v>21</v>
      </c>
      <c r="I15" t="s">
        <v>25</v>
      </c>
      <c r="J15" s="6">
        <v>809000</v>
      </c>
      <c r="K15" s="6">
        <v>221000</v>
      </c>
      <c r="L15" s="6">
        <v>548287.95692529948</v>
      </c>
      <c r="M15" s="6">
        <v>276364.48824003135</v>
      </c>
      <c r="N15" s="6">
        <v>82909.346472009405</v>
      </c>
      <c r="O15" s="6">
        <v>193455.14176802195</v>
      </c>
      <c r="P15" s="4">
        <v>1</v>
      </c>
      <c r="Q15" s="4">
        <v>0</v>
      </c>
    </row>
    <row r="16" spans="1:20" x14ac:dyDescent="0.35">
      <c r="A16" t="s">
        <v>23</v>
      </c>
      <c r="B16" s="4">
        <v>2016</v>
      </c>
      <c r="C16" s="4">
        <v>2</v>
      </c>
      <c r="D16" s="4">
        <v>2025</v>
      </c>
      <c r="E16" s="5">
        <v>42619</v>
      </c>
      <c r="F16" s="5">
        <v>42635</v>
      </c>
      <c r="G16" t="s">
        <v>24</v>
      </c>
      <c r="H16" t="s">
        <v>21</v>
      </c>
      <c r="I16" t="s">
        <v>25</v>
      </c>
      <c r="J16" s="6">
        <v>809000</v>
      </c>
      <c r="K16" s="6">
        <v>221000</v>
      </c>
      <c r="L16" s="6">
        <v>548287.95692529948</v>
      </c>
      <c r="M16" s="6">
        <v>381736.7248851179</v>
      </c>
      <c r="N16" s="6">
        <v>171781.52619830307</v>
      </c>
      <c r="O16" s="6">
        <v>209955.19868681484</v>
      </c>
      <c r="P16" s="4">
        <v>1</v>
      </c>
      <c r="Q16" s="4">
        <v>0</v>
      </c>
    </row>
    <row r="17" spans="1:17" x14ac:dyDescent="0.35">
      <c r="A17" t="s">
        <v>23</v>
      </c>
      <c r="B17" s="4">
        <v>2016</v>
      </c>
      <c r="C17" s="4">
        <v>3</v>
      </c>
      <c r="D17" s="4">
        <v>2025</v>
      </c>
      <c r="E17" s="5">
        <v>42619</v>
      </c>
      <c r="F17" s="5">
        <v>42635</v>
      </c>
      <c r="G17" t="s">
        <v>24</v>
      </c>
      <c r="H17" t="s">
        <v>21</v>
      </c>
      <c r="I17" t="s">
        <v>25</v>
      </c>
      <c r="J17" s="6">
        <v>809000</v>
      </c>
      <c r="K17" s="6">
        <v>221000</v>
      </c>
      <c r="L17" s="6">
        <v>548287.95692529948</v>
      </c>
      <c r="M17" s="6">
        <v>416161.73053755035</v>
      </c>
      <c r="N17" s="6">
        <v>249697.03832253019</v>
      </c>
      <c r="O17" s="6">
        <v>166464.69221502016</v>
      </c>
      <c r="P17" s="4">
        <v>1</v>
      </c>
      <c r="Q17" s="4">
        <v>0</v>
      </c>
    </row>
    <row r="18" spans="1:17" x14ac:dyDescent="0.35">
      <c r="A18" t="s">
        <v>23</v>
      </c>
      <c r="B18" s="4">
        <v>2016</v>
      </c>
      <c r="C18" s="4">
        <v>4</v>
      </c>
      <c r="D18" s="4">
        <v>2025</v>
      </c>
      <c r="E18" s="5">
        <v>42619</v>
      </c>
      <c r="F18" s="5">
        <v>42635</v>
      </c>
      <c r="G18" t="s">
        <v>24</v>
      </c>
      <c r="H18" t="s">
        <v>21</v>
      </c>
      <c r="I18" t="s">
        <v>25</v>
      </c>
      <c r="J18" s="6">
        <v>809000</v>
      </c>
      <c r="K18" s="6">
        <v>221000</v>
      </c>
      <c r="L18" s="6">
        <v>548287.95692529948</v>
      </c>
      <c r="M18" s="6">
        <v>463546.31647646317</v>
      </c>
      <c r="N18" s="6">
        <v>333753.3478630535</v>
      </c>
      <c r="O18" s="6">
        <v>129792.96861340967</v>
      </c>
      <c r="P18" s="4">
        <v>1</v>
      </c>
      <c r="Q18" s="4">
        <v>0</v>
      </c>
    </row>
    <row r="19" spans="1:17" x14ac:dyDescent="0.35">
      <c r="A19" t="s">
        <v>23</v>
      </c>
      <c r="B19" s="4">
        <v>2016</v>
      </c>
      <c r="C19" s="4">
        <v>5</v>
      </c>
      <c r="D19" s="4">
        <v>2025</v>
      </c>
      <c r="E19" s="5">
        <v>42619</v>
      </c>
      <c r="F19" s="5">
        <v>42635</v>
      </c>
      <c r="G19" t="s">
        <v>24</v>
      </c>
      <c r="H19" t="s">
        <v>21</v>
      </c>
      <c r="I19" t="s">
        <v>25</v>
      </c>
      <c r="J19" s="6">
        <v>809000</v>
      </c>
      <c r="K19" s="6">
        <v>221000</v>
      </c>
      <c r="L19" s="6">
        <v>548287.95692529948</v>
      </c>
      <c r="M19" s="6">
        <v>463546.31647646317</v>
      </c>
      <c r="N19" s="6">
        <v>380107.97951069975</v>
      </c>
      <c r="O19" s="6">
        <v>83438.336965763418</v>
      </c>
      <c r="P19" s="4">
        <v>1</v>
      </c>
      <c r="Q19" s="4">
        <v>0</v>
      </c>
    </row>
    <row r="20" spans="1:17" x14ac:dyDescent="0.35">
      <c r="A20" t="s">
        <v>23</v>
      </c>
      <c r="B20" s="4">
        <v>2016</v>
      </c>
      <c r="C20" s="4">
        <v>6</v>
      </c>
      <c r="D20" s="4">
        <v>2025</v>
      </c>
      <c r="E20" s="5">
        <v>42619</v>
      </c>
      <c r="F20" s="5">
        <v>42635</v>
      </c>
      <c r="G20" t="s">
        <v>24</v>
      </c>
      <c r="H20" t="s">
        <v>21</v>
      </c>
      <c r="I20" t="s">
        <v>25</v>
      </c>
      <c r="J20" s="6">
        <v>809000</v>
      </c>
      <c r="K20" s="6">
        <v>221000</v>
      </c>
      <c r="L20" s="6">
        <v>548287.95692529948</v>
      </c>
      <c r="M20" s="6">
        <v>508528.49699045386</v>
      </c>
      <c r="N20" s="6">
        <v>457675.6472914085</v>
      </c>
      <c r="O20" s="6">
        <v>50852.849699045357</v>
      </c>
      <c r="P20" s="4">
        <v>1</v>
      </c>
      <c r="Q20" s="4">
        <v>0</v>
      </c>
    </row>
    <row r="21" spans="1:17" x14ac:dyDescent="0.35">
      <c r="A21" t="s">
        <v>23</v>
      </c>
      <c r="B21" s="4">
        <v>2016</v>
      </c>
      <c r="C21" s="4">
        <v>7</v>
      </c>
      <c r="D21" s="4">
        <v>2025</v>
      </c>
      <c r="E21" s="5">
        <v>42619</v>
      </c>
      <c r="F21" s="5">
        <v>42635</v>
      </c>
      <c r="G21" t="s">
        <v>24</v>
      </c>
      <c r="H21" t="s">
        <v>21</v>
      </c>
      <c r="I21" t="s">
        <v>25</v>
      </c>
      <c r="J21" s="6">
        <v>809000</v>
      </c>
      <c r="K21" s="6">
        <v>221000</v>
      </c>
      <c r="L21" s="6">
        <v>548287.95692529948</v>
      </c>
      <c r="M21" s="6">
        <v>548287.95692529948</v>
      </c>
      <c r="N21" s="6">
        <v>548287.95692529948</v>
      </c>
      <c r="O21" s="6">
        <v>0</v>
      </c>
      <c r="P21" s="4">
        <v>1</v>
      </c>
      <c r="Q21" s="4">
        <v>1</v>
      </c>
    </row>
    <row r="22" spans="1:17" x14ac:dyDescent="0.35">
      <c r="A22" t="s">
        <v>23</v>
      </c>
      <c r="B22" s="4">
        <v>2016</v>
      </c>
      <c r="C22" s="4">
        <v>8</v>
      </c>
      <c r="D22" s="4">
        <v>2025</v>
      </c>
      <c r="E22" s="5">
        <v>42619</v>
      </c>
      <c r="F22" s="5">
        <v>42635</v>
      </c>
      <c r="G22" t="s">
        <v>24</v>
      </c>
      <c r="H22" t="s">
        <v>21</v>
      </c>
      <c r="I22" t="s">
        <v>25</v>
      </c>
      <c r="J22" s="6">
        <v>809000</v>
      </c>
      <c r="K22" s="6">
        <v>221000</v>
      </c>
      <c r="L22" s="6">
        <v>548287.95692529948</v>
      </c>
      <c r="M22" s="6">
        <v>548287.95692529948</v>
      </c>
      <c r="N22" s="6">
        <v>548287.95692529948</v>
      </c>
      <c r="O22" s="6">
        <v>0</v>
      </c>
      <c r="P22" s="4">
        <v>1</v>
      </c>
      <c r="Q22" s="4">
        <v>1</v>
      </c>
    </row>
    <row r="23" spans="1:17" x14ac:dyDescent="0.35">
      <c r="A23" t="s">
        <v>23</v>
      </c>
      <c r="B23" s="4">
        <v>2016</v>
      </c>
      <c r="C23" s="4">
        <v>9</v>
      </c>
      <c r="D23" s="4">
        <v>2025</v>
      </c>
      <c r="E23" s="5">
        <v>42619</v>
      </c>
      <c r="F23" s="5">
        <v>42635</v>
      </c>
      <c r="G23" t="s">
        <v>24</v>
      </c>
      <c r="H23" t="s">
        <v>21</v>
      </c>
      <c r="I23" t="s">
        <v>25</v>
      </c>
      <c r="J23" s="6">
        <v>809000</v>
      </c>
      <c r="K23" s="6">
        <v>221000</v>
      </c>
      <c r="L23" s="6">
        <v>548287.95692529948</v>
      </c>
      <c r="M23" s="6">
        <v>548287.95692529948</v>
      </c>
      <c r="N23" s="6">
        <v>548287.95692529948</v>
      </c>
      <c r="O23" s="6">
        <v>0</v>
      </c>
      <c r="P23" s="4">
        <v>1</v>
      </c>
      <c r="Q23" s="4">
        <v>1</v>
      </c>
    </row>
    <row r="24" spans="1:17" x14ac:dyDescent="0.35">
      <c r="A24" t="s">
        <v>26</v>
      </c>
      <c r="B24" s="4">
        <v>2016</v>
      </c>
      <c r="C24" s="4">
        <v>0</v>
      </c>
      <c r="D24" s="4">
        <v>2025</v>
      </c>
      <c r="E24" s="5">
        <v>42395</v>
      </c>
      <c r="F24" s="5">
        <v>42408</v>
      </c>
      <c r="G24" t="s">
        <v>27</v>
      </c>
      <c r="H24" t="s">
        <v>28</v>
      </c>
      <c r="I24" t="s">
        <v>29</v>
      </c>
      <c r="J24" s="6">
        <v>2585000</v>
      </c>
      <c r="K24" s="6">
        <v>224000</v>
      </c>
      <c r="L24" s="6">
        <v>2047811.8616057762</v>
      </c>
      <c r="M24" s="6">
        <v>671636.64693978184</v>
      </c>
      <c r="N24" s="6">
        <v>67163.664693978193</v>
      </c>
      <c r="O24" s="6">
        <v>604472.98224580369</v>
      </c>
      <c r="P24" s="4">
        <v>1</v>
      </c>
      <c r="Q24" s="4">
        <v>0</v>
      </c>
    </row>
    <row r="25" spans="1:17" x14ac:dyDescent="0.35">
      <c r="A25" t="s">
        <v>26</v>
      </c>
      <c r="B25" s="4">
        <v>2016</v>
      </c>
      <c r="C25" s="4">
        <v>1</v>
      </c>
      <c r="D25" s="4">
        <v>2025</v>
      </c>
      <c r="E25" s="5">
        <v>42395</v>
      </c>
      <c r="F25" s="5">
        <v>42408</v>
      </c>
      <c r="G25" t="s">
        <v>27</v>
      </c>
      <c r="H25" t="s">
        <v>28</v>
      </c>
      <c r="I25" t="s">
        <v>29</v>
      </c>
      <c r="J25" s="6">
        <v>2585000</v>
      </c>
      <c r="K25" s="6">
        <v>224000</v>
      </c>
      <c r="L25" s="6">
        <v>2047811.8616057762</v>
      </c>
      <c r="M25" s="6">
        <v>1023205.4434066173</v>
      </c>
      <c r="N25" s="6">
        <v>306961.63302198518</v>
      </c>
      <c r="O25" s="6">
        <v>716243.81038463209</v>
      </c>
      <c r="P25" s="4">
        <v>1</v>
      </c>
      <c r="Q25" s="4">
        <v>0</v>
      </c>
    </row>
    <row r="26" spans="1:17" x14ac:dyDescent="0.35">
      <c r="A26" t="s">
        <v>26</v>
      </c>
      <c r="B26" s="4">
        <v>2016</v>
      </c>
      <c r="C26" s="4">
        <v>2</v>
      </c>
      <c r="D26" s="4">
        <v>2025</v>
      </c>
      <c r="E26" s="5">
        <v>42395</v>
      </c>
      <c r="F26" s="5">
        <v>42408</v>
      </c>
      <c r="G26" t="s">
        <v>27</v>
      </c>
      <c r="H26" t="s">
        <v>28</v>
      </c>
      <c r="I26" t="s">
        <v>29</v>
      </c>
      <c r="J26" s="6">
        <v>2585000</v>
      </c>
      <c r="K26" s="6">
        <v>224000</v>
      </c>
      <c r="L26" s="6">
        <v>2047811.8616057762</v>
      </c>
      <c r="M26" s="6">
        <v>1371355.9941274954</v>
      </c>
      <c r="N26" s="6">
        <v>617110.19735737296</v>
      </c>
      <c r="O26" s="6">
        <v>754245.79677012248</v>
      </c>
      <c r="P26" s="4">
        <v>1</v>
      </c>
      <c r="Q26" s="4">
        <v>0</v>
      </c>
    </row>
    <row r="27" spans="1:17" x14ac:dyDescent="0.35">
      <c r="A27" t="s">
        <v>26</v>
      </c>
      <c r="B27" s="4">
        <v>2016</v>
      </c>
      <c r="C27" s="4">
        <v>3</v>
      </c>
      <c r="D27" s="4">
        <v>2025</v>
      </c>
      <c r="E27" s="5">
        <v>42395</v>
      </c>
      <c r="F27" s="5">
        <v>42408</v>
      </c>
      <c r="G27" t="s">
        <v>27</v>
      </c>
      <c r="H27" t="s">
        <v>28</v>
      </c>
      <c r="I27" t="s">
        <v>29</v>
      </c>
      <c r="J27" s="6">
        <v>2585000</v>
      </c>
      <c r="K27" s="6">
        <v>224000</v>
      </c>
      <c r="L27" s="6">
        <v>2047811.8616057762</v>
      </c>
      <c r="M27" s="6">
        <v>1483836.8419859491</v>
      </c>
      <c r="N27" s="6">
        <v>890302.10519156943</v>
      </c>
      <c r="O27" s="6">
        <v>593534.73679437966</v>
      </c>
      <c r="P27" s="4">
        <v>1</v>
      </c>
      <c r="Q27" s="4">
        <v>0</v>
      </c>
    </row>
    <row r="28" spans="1:17" x14ac:dyDescent="0.35">
      <c r="A28" t="s">
        <v>26</v>
      </c>
      <c r="B28" s="4">
        <v>2016</v>
      </c>
      <c r="C28" s="4">
        <v>4</v>
      </c>
      <c r="D28" s="4">
        <v>2025</v>
      </c>
      <c r="E28" s="5">
        <v>42395</v>
      </c>
      <c r="F28" s="5">
        <v>42408</v>
      </c>
      <c r="G28" t="s">
        <v>27</v>
      </c>
      <c r="H28" t="s">
        <v>28</v>
      </c>
      <c r="I28" t="s">
        <v>29</v>
      </c>
      <c r="J28" s="6">
        <v>2585000</v>
      </c>
      <c r="K28" s="6">
        <v>224000</v>
      </c>
      <c r="L28" s="6">
        <v>2047811.8616057762</v>
      </c>
      <c r="M28" s="6">
        <v>1721075.158363346</v>
      </c>
      <c r="N28" s="6">
        <v>1239174.1140216091</v>
      </c>
      <c r="O28" s="6">
        <v>481901.04434173694</v>
      </c>
      <c r="P28" s="4">
        <v>1</v>
      </c>
      <c r="Q28" s="4">
        <v>0</v>
      </c>
    </row>
    <row r="29" spans="1:17" x14ac:dyDescent="0.35">
      <c r="A29" t="s">
        <v>26</v>
      </c>
      <c r="B29" s="4">
        <v>2016</v>
      </c>
      <c r="C29" s="4">
        <v>5</v>
      </c>
      <c r="D29" s="4">
        <v>2025</v>
      </c>
      <c r="E29" s="5">
        <v>42395</v>
      </c>
      <c r="F29" s="5">
        <v>42408</v>
      </c>
      <c r="G29" t="s">
        <v>27</v>
      </c>
      <c r="H29" t="s">
        <v>28</v>
      </c>
      <c r="I29" t="s">
        <v>29</v>
      </c>
      <c r="J29" s="6">
        <v>2585000</v>
      </c>
      <c r="K29" s="6">
        <v>224000</v>
      </c>
      <c r="L29" s="6">
        <v>2047811.8616057762</v>
      </c>
      <c r="M29" s="6">
        <v>1824169.3068697788</v>
      </c>
      <c r="N29" s="6">
        <v>1824169.3068697788</v>
      </c>
      <c r="O29" s="6">
        <v>0</v>
      </c>
      <c r="P29" s="4">
        <v>1</v>
      </c>
      <c r="Q29" s="4">
        <v>1</v>
      </c>
    </row>
    <row r="30" spans="1:17" x14ac:dyDescent="0.35">
      <c r="A30" t="s">
        <v>26</v>
      </c>
      <c r="B30" s="4">
        <v>2016</v>
      </c>
      <c r="C30" s="4">
        <v>6</v>
      </c>
      <c r="D30" s="4">
        <v>2025</v>
      </c>
      <c r="E30" s="5">
        <v>42395</v>
      </c>
      <c r="F30" s="5">
        <v>42408</v>
      </c>
      <c r="G30" t="s">
        <v>27</v>
      </c>
      <c r="H30" t="s">
        <v>28</v>
      </c>
      <c r="I30" t="s">
        <v>29</v>
      </c>
      <c r="J30" s="6">
        <v>2585000</v>
      </c>
      <c r="K30" s="6">
        <v>224000</v>
      </c>
      <c r="L30" s="6">
        <v>2047811.8616057762</v>
      </c>
      <c r="M30" s="6">
        <v>1881608.2272139615</v>
      </c>
      <c r="N30" s="6">
        <v>1881608.2272139615</v>
      </c>
      <c r="O30" s="6">
        <v>0</v>
      </c>
      <c r="P30" s="4">
        <v>1</v>
      </c>
      <c r="Q30" s="4">
        <v>1</v>
      </c>
    </row>
    <row r="31" spans="1:17" x14ac:dyDescent="0.35">
      <c r="A31" t="s">
        <v>26</v>
      </c>
      <c r="B31" s="4">
        <v>2016</v>
      </c>
      <c r="C31" s="4">
        <v>7</v>
      </c>
      <c r="D31" s="4">
        <v>2025</v>
      </c>
      <c r="E31" s="5">
        <v>42395</v>
      </c>
      <c r="F31" s="5">
        <v>42408</v>
      </c>
      <c r="G31" t="s">
        <v>27</v>
      </c>
      <c r="H31" t="s">
        <v>28</v>
      </c>
      <c r="I31" t="s">
        <v>29</v>
      </c>
      <c r="J31" s="6">
        <v>2585000</v>
      </c>
      <c r="K31" s="6">
        <v>224000</v>
      </c>
      <c r="L31" s="6">
        <v>2047811.8616057762</v>
      </c>
      <c r="M31" s="6">
        <v>2031119.5654036389</v>
      </c>
      <c r="N31" s="6">
        <v>2031119.5654036389</v>
      </c>
      <c r="O31" s="6">
        <v>0</v>
      </c>
      <c r="P31" s="4">
        <v>1</v>
      </c>
      <c r="Q31" s="4">
        <v>1</v>
      </c>
    </row>
    <row r="32" spans="1:17" x14ac:dyDescent="0.35">
      <c r="A32" t="s">
        <v>26</v>
      </c>
      <c r="B32" s="4">
        <v>2016</v>
      </c>
      <c r="C32" s="4">
        <v>8</v>
      </c>
      <c r="D32" s="4">
        <v>2025</v>
      </c>
      <c r="E32" s="5">
        <v>42395</v>
      </c>
      <c r="F32" s="5">
        <v>42408</v>
      </c>
      <c r="G32" t="s">
        <v>27</v>
      </c>
      <c r="H32" t="s">
        <v>28</v>
      </c>
      <c r="I32" t="s">
        <v>29</v>
      </c>
      <c r="J32" s="6">
        <v>2585000</v>
      </c>
      <c r="K32" s="6">
        <v>224000</v>
      </c>
      <c r="L32" s="6">
        <v>2047811.8616057762</v>
      </c>
      <c r="M32" s="6">
        <v>2031119.5654036389</v>
      </c>
      <c r="N32" s="6">
        <v>2031119.5654036389</v>
      </c>
      <c r="O32" s="6">
        <v>0</v>
      </c>
      <c r="P32" s="4">
        <v>1</v>
      </c>
      <c r="Q32" s="4">
        <v>1</v>
      </c>
    </row>
    <row r="33" spans="1:17" x14ac:dyDescent="0.35">
      <c r="A33" t="s">
        <v>26</v>
      </c>
      <c r="B33" s="4">
        <v>2016</v>
      </c>
      <c r="C33" s="4">
        <v>9</v>
      </c>
      <c r="D33" s="4">
        <v>2025</v>
      </c>
      <c r="E33" s="5">
        <v>42395</v>
      </c>
      <c r="F33" s="5">
        <v>42408</v>
      </c>
      <c r="G33" t="s">
        <v>27</v>
      </c>
      <c r="H33" t="s">
        <v>28</v>
      </c>
      <c r="I33" t="s">
        <v>29</v>
      </c>
      <c r="J33" s="6">
        <v>2585000</v>
      </c>
      <c r="K33" s="6">
        <v>224000</v>
      </c>
      <c r="L33" s="6">
        <v>2047811.8616057762</v>
      </c>
      <c r="M33" s="6">
        <v>2047811.8616057762</v>
      </c>
      <c r="N33" s="6">
        <v>2047811.8616057762</v>
      </c>
      <c r="O33" s="6">
        <v>0</v>
      </c>
      <c r="P33" s="4">
        <v>1</v>
      </c>
      <c r="Q33" s="4">
        <v>1</v>
      </c>
    </row>
    <row r="34" spans="1:17" x14ac:dyDescent="0.35">
      <c r="A34" t="s">
        <v>30</v>
      </c>
      <c r="B34" s="4">
        <v>2016</v>
      </c>
      <c r="C34" s="4">
        <v>0</v>
      </c>
      <c r="D34" s="4">
        <v>2025</v>
      </c>
      <c r="E34" s="5">
        <v>42675</v>
      </c>
      <c r="F34" s="5">
        <v>42748</v>
      </c>
      <c r="G34" t="s">
        <v>20</v>
      </c>
      <c r="H34" t="s">
        <v>31</v>
      </c>
      <c r="I34" t="s">
        <v>32</v>
      </c>
      <c r="J34" s="6">
        <v>6529000</v>
      </c>
      <c r="K34" s="6">
        <v>57000</v>
      </c>
      <c r="L34" s="6">
        <v>2429276.4531432497</v>
      </c>
      <c r="M34" s="6">
        <v>736299.73782917589</v>
      </c>
      <c r="N34" s="6">
        <v>73629.973782917587</v>
      </c>
      <c r="O34" s="6">
        <v>662669.76404625829</v>
      </c>
      <c r="P34" s="4">
        <v>1</v>
      </c>
      <c r="Q34" s="4">
        <v>0</v>
      </c>
    </row>
    <row r="35" spans="1:17" x14ac:dyDescent="0.35">
      <c r="A35" t="s">
        <v>30</v>
      </c>
      <c r="B35" s="4">
        <v>2016</v>
      </c>
      <c r="C35" s="4">
        <v>1</v>
      </c>
      <c r="D35" s="4">
        <v>2025</v>
      </c>
      <c r="E35" s="5">
        <v>42675</v>
      </c>
      <c r="F35" s="5">
        <v>42748</v>
      </c>
      <c r="G35" t="s">
        <v>20</v>
      </c>
      <c r="H35" t="s">
        <v>31</v>
      </c>
      <c r="I35" t="s">
        <v>32</v>
      </c>
      <c r="J35" s="6">
        <v>6529000</v>
      </c>
      <c r="K35" s="6">
        <v>57000</v>
      </c>
      <c r="L35" s="6">
        <v>2429276.4531432497</v>
      </c>
      <c r="M35" s="6">
        <v>1224931.5315380374</v>
      </c>
      <c r="N35" s="6">
        <v>367479.45946141117</v>
      </c>
      <c r="O35" s="6">
        <v>857452.07207662612</v>
      </c>
      <c r="P35" s="4">
        <v>1</v>
      </c>
      <c r="Q35" s="4">
        <v>0</v>
      </c>
    </row>
    <row r="36" spans="1:17" x14ac:dyDescent="0.35">
      <c r="A36" t="s">
        <v>30</v>
      </c>
      <c r="B36" s="4">
        <v>2016</v>
      </c>
      <c r="C36" s="4">
        <v>2</v>
      </c>
      <c r="D36" s="4">
        <v>2025</v>
      </c>
      <c r="E36" s="5">
        <v>42675</v>
      </c>
      <c r="F36" s="5">
        <v>42748</v>
      </c>
      <c r="G36" t="s">
        <v>20</v>
      </c>
      <c r="H36" t="s">
        <v>31</v>
      </c>
      <c r="I36" t="s">
        <v>32</v>
      </c>
      <c r="J36" s="6">
        <v>6529000</v>
      </c>
      <c r="K36" s="6">
        <v>57000</v>
      </c>
      <c r="L36" s="6">
        <v>2429276.4531432497</v>
      </c>
      <c r="M36" s="6">
        <v>1579270.1664564949</v>
      </c>
      <c r="N36" s="6">
        <v>710671.57490542275</v>
      </c>
      <c r="O36" s="6">
        <v>868598.5915510722</v>
      </c>
      <c r="P36" s="4">
        <v>1</v>
      </c>
      <c r="Q36" s="4">
        <v>0</v>
      </c>
    </row>
    <row r="37" spans="1:17" x14ac:dyDescent="0.35">
      <c r="A37" t="s">
        <v>30</v>
      </c>
      <c r="B37" s="4">
        <v>2016</v>
      </c>
      <c r="C37" s="4">
        <v>3</v>
      </c>
      <c r="D37" s="4">
        <v>2025</v>
      </c>
      <c r="E37" s="5">
        <v>42675</v>
      </c>
      <c r="F37" s="5">
        <v>42748</v>
      </c>
      <c r="G37" t="s">
        <v>20</v>
      </c>
      <c r="H37" t="s">
        <v>31</v>
      </c>
      <c r="I37" t="s">
        <v>32</v>
      </c>
      <c r="J37" s="6">
        <v>6529000</v>
      </c>
      <c r="K37" s="6">
        <v>57000</v>
      </c>
      <c r="L37" s="6">
        <v>2429276.4531432497</v>
      </c>
      <c r="M37" s="6">
        <v>1854944.5992533492</v>
      </c>
      <c r="N37" s="6">
        <v>1112966.7595520094</v>
      </c>
      <c r="O37" s="6">
        <v>741977.83970133984</v>
      </c>
      <c r="P37" s="4">
        <v>1</v>
      </c>
      <c r="Q37" s="4">
        <v>0</v>
      </c>
    </row>
    <row r="38" spans="1:17" x14ac:dyDescent="0.35">
      <c r="A38" t="s">
        <v>30</v>
      </c>
      <c r="B38" s="4">
        <v>2016</v>
      </c>
      <c r="C38" s="4">
        <v>4</v>
      </c>
      <c r="D38" s="4">
        <v>2025</v>
      </c>
      <c r="E38" s="5">
        <v>42675</v>
      </c>
      <c r="F38" s="5">
        <v>42748</v>
      </c>
      <c r="G38" t="s">
        <v>20</v>
      </c>
      <c r="H38" t="s">
        <v>31</v>
      </c>
      <c r="I38" t="s">
        <v>32</v>
      </c>
      <c r="J38" s="6">
        <v>6529000</v>
      </c>
      <c r="K38" s="6">
        <v>57000</v>
      </c>
      <c r="L38" s="6">
        <v>2429276.4531432497</v>
      </c>
      <c r="M38" s="6">
        <v>1946643.360959582</v>
      </c>
      <c r="N38" s="6">
        <v>1946643.360959582</v>
      </c>
      <c r="O38" s="6">
        <v>0</v>
      </c>
      <c r="P38" s="4">
        <v>1</v>
      </c>
      <c r="Q38" s="4">
        <v>1</v>
      </c>
    </row>
    <row r="39" spans="1:17" x14ac:dyDescent="0.35">
      <c r="A39" t="s">
        <v>30</v>
      </c>
      <c r="B39" s="4">
        <v>2016</v>
      </c>
      <c r="C39" s="4">
        <v>5</v>
      </c>
      <c r="D39" s="4">
        <v>2025</v>
      </c>
      <c r="E39" s="5">
        <v>42675</v>
      </c>
      <c r="F39" s="5">
        <v>42748</v>
      </c>
      <c r="G39" t="s">
        <v>20</v>
      </c>
      <c r="H39" t="s">
        <v>31</v>
      </c>
      <c r="I39" t="s">
        <v>32</v>
      </c>
      <c r="J39" s="6">
        <v>6529000</v>
      </c>
      <c r="K39" s="6">
        <v>57000</v>
      </c>
      <c r="L39" s="6">
        <v>2429276.4531432497</v>
      </c>
      <c r="M39" s="6">
        <v>1969647.1433995555</v>
      </c>
      <c r="N39" s="6">
        <v>1969647.1433995555</v>
      </c>
      <c r="O39" s="6">
        <v>0</v>
      </c>
      <c r="P39" s="4">
        <v>1</v>
      </c>
      <c r="Q39" s="4">
        <v>1</v>
      </c>
    </row>
    <row r="40" spans="1:17" x14ac:dyDescent="0.35">
      <c r="A40" t="s">
        <v>30</v>
      </c>
      <c r="B40" s="4">
        <v>2016</v>
      </c>
      <c r="C40" s="4">
        <v>6</v>
      </c>
      <c r="D40" s="4">
        <v>2025</v>
      </c>
      <c r="E40" s="5">
        <v>42675</v>
      </c>
      <c r="F40" s="5">
        <v>42748</v>
      </c>
      <c r="G40" t="s">
        <v>20</v>
      </c>
      <c r="H40" t="s">
        <v>31</v>
      </c>
      <c r="I40" t="s">
        <v>32</v>
      </c>
      <c r="J40" s="6">
        <v>6529000</v>
      </c>
      <c r="K40" s="6">
        <v>57000</v>
      </c>
      <c r="L40" s="6">
        <v>2429276.4531432497</v>
      </c>
      <c r="M40" s="6">
        <v>2220567.5238167359</v>
      </c>
      <c r="N40" s="6">
        <v>2220567.5238167359</v>
      </c>
      <c r="O40" s="6">
        <v>0</v>
      </c>
      <c r="P40" s="4">
        <v>1</v>
      </c>
      <c r="Q40" s="4">
        <v>1</v>
      </c>
    </row>
    <row r="41" spans="1:17" x14ac:dyDescent="0.35">
      <c r="A41" t="s">
        <v>30</v>
      </c>
      <c r="B41" s="4">
        <v>2016</v>
      </c>
      <c r="C41" s="4">
        <v>7</v>
      </c>
      <c r="D41" s="4">
        <v>2025</v>
      </c>
      <c r="E41" s="5">
        <v>42675</v>
      </c>
      <c r="F41" s="5">
        <v>42748</v>
      </c>
      <c r="G41" t="s">
        <v>20</v>
      </c>
      <c r="H41" t="s">
        <v>31</v>
      </c>
      <c r="I41" t="s">
        <v>32</v>
      </c>
      <c r="J41" s="6">
        <v>6529000</v>
      </c>
      <c r="K41" s="6">
        <v>57000</v>
      </c>
      <c r="L41" s="6">
        <v>2429276.4531432497</v>
      </c>
      <c r="M41" s="6">
        <v>2330428.837043256</v>
      </c>
      <c r="N41" s="6">
        <v>2330428.837043256</v>
      </c>
      <c r="O41" s="6">
        <v>0</v>
      </c>
      <c r="P41" s="4">
        <v>1</v>
      </c>
      <c r="Q41" s="4">
        <v>1</v>
      </c>
    </row>
    <row r="42" spans="1:17" x14ac:dyDescent="0.35">
      <c r="A42" t="s">
        <v>30</v>
      </c>
      <c r="B42" s="4">
        <v>2016</v>
      </c>
      <c r="C42" s="4">
        <v>8</v>
      </c>
      <c r="D42" s="4">
        <v>2025</v>
      </c>
      <c r="E42" s="5">
        <v>42675</v>
      </c>
      <c r="F42" s="5">
        <v>42748</v>
      </c>
      <c r="G42" t="s">
        <v>20</v>
      </c>
      <c r="H42" t="s">
        <v>31</v>
      </c>
      <c r="I42" t="s">
        <v>32</v>
      </c>
      <c r="J42" s="6">
        <v>6529000</v>
      </c>
      <c r="K42" s="6">
        <v>57000</v>
      </c>
      <c r="L42" s="6">
        <v>2429276.4531432497</v>
      </c>
      <c r="M42" s="6">
        <v>2330428.837043256</v>
      </c>
      <c r="N42" s="6">
        <v>2330428.837043256</v>
      </c>
      <c r="O42" s="6">
        <v>0</v>
      </c>
      <c r="P42" s="4">
        <v>1</v>
      </c>
      <c r="Q42" s="4">
        <v>1</v>
      </c>
    </row>
    <row r="43" spans="1:17" x14ac:dyDescent="0.35">
      <c r="A43" t="s">
        <v>30</v>
      </c>
      <c r="B43" s="4">
        <v>2016</v>
      </c>
      <c r="C43" s="4">
        <v>9</v>
      </c>
      <c r="D43" s="4">
        <v>2025</v>
      </c>
      <c r="E43" s="5">
        <v>42675</v>
      </c>
      <c r="F43" s="5">
        <v>42748</v>
      </c>
      <c r="G43" t="s">
        <v>20</v>
      </c>
      <c r="H43" t="s">
        <v>31</v>
      </c>
      <c r="I43" t="s">
        <v>32</v>
      </c>
      <c r="J43" s="6">
        <v>6529000</v>
      </c>
      <c r="K43" s="6">
        <v>57000</v>
      </c>
      <c r="L43" s="6">
        <v>2429276.4531432497</v>
      </c>
      <c r="M43" s="6">
        <v>2392552.0465069483</v>
      </c>
      <c r="N43" s="6">
        <v>2392552.0465069483</v>
      </c>
      <c r="O43" s="6">
        <v>0</v>
      </c>
      <c r="P43" s="4">
        <v>1</v>
      </c>
      <c r="Q43" s="4">
        <v>1</v>
      </c>
    </row>
    <row r="44" spans="1:17" x14ac:dyDescent="0.35">
      <c r="A44" t="s">
        <v>33</v>
      </c>
      <c r="B44" s="4">
        <v>2016</v>
      </c>
      <c r="C44" s="4">
        <v>0</v>
      </c>
      <c r="D44" s="4">
        <v>2025</v>
      </c>
      <c r="E44" s="5">
        <v>42501</v>
      </c>
      <c r="F44" s="5">
        <v>42596</v>
      </c>
      <c r="G44" t="s">
        <v>20</v>
      </c>
      <c r="H44" t="s">
        <v>34</v>
      </c>
      <c r="I44" t="s">
        <v>29</v>
      </c>
      <c r="J44" s="6">
        <v>4998000</v>
      </c>
      <c r="K44" s="6">
        <v>137000</v>
      </c>
      <c r="L44" s="6">
        <v>2420139.3220122303</v>
      </c>
      <c r="M44" s="6">
        <v>764972.51596654137</v>
      </c>
      <c r="N44" s="6">
        <v>76497.25159665414</v>
      </c>
      <c r="O44" s="6">
        <v>688475.26436988718</v>
      </c>
      <c r="P44" s="4">
        <v>1</v>
      </c>
      <c r="Q44" s="4">
        <v>0</v>
      </c>
    </row>
    <row r="45" spans="1:17" x14ac:dyDescent="0.35">
      <c r="A45" t="s">
        <v>33</v>
      </c>
      <c r="B45" s="4">
        <v>2016</v>
      </c>
      <c r="C45" s="4">
        <v>1</v>
      </c>
      <c r="D45" s="4">
        <v>2025</v>
      </c>
      <c r="E45" s="5">
        <v>42501</v>
      </c>
      <c r="F45" s="5">
        <v>42596</v>
      </c>
      <c r="G45" t="s">
        <v>20</v>
      </c>
      <c r="H45" t="s">
        <v>34</v>
      </c>
      <c r="I45" t="s">
        <v>29</v>
      </c>
      <c r="J45" s="6">
        <v>4998000</v>
      </c>
      <c r="K45" s="6">
        <v>137000</v>
      </c>
      <c r="L45" s="6">
        <v>2420139.3220122303</v>
      </c>
      <c r="M45" s="6">
        <v>1206980.4049672787</v>
      </c>
      <c r="N45" s="6">
        <v>362094.12149018358</v>
      </c>
      <c r="O45" s="6">
        <v>844886.28347709519</v>
      </c>
      <c r="P45" s="4">
        <v>1</v>
      </c>
      <c r="Q45" s="4">
        <v>0</v>
      </c>
    </row>
    <row r="46" spans="1:17" x14ac:dyDescent="0.35">
      <c r="A46" t="s">
        <v>33</v>
      </c>
      <c r="B46" s="4">
        <v>2016</v>
      </c>
      <c r="C46" s="4">
        <v>2</v>
      </c>
      <c r="D46" s="4">
        <v>2025</v>
      </c>
      <c r="E46" s="5">
        <v>42501</v>
      </c>
      <c r="F46" s="5">
        <v>42596</v>
      </c>
      <c r="G46" t="s">
        <v>20</v>
      </c>
      <c r="H46" t="s">
        <v>34</v>
      </c>
      <c r="I46" t="s">
        <v>29</v>
      </c>
      <c r="J46" s="6">
        <v>4998000</v>
      </c>
      <c r="K46" s="6">
        <v>137000</v>
      </c>
      <c r="L46" s="6">
        <v>2420139.3220122303</v>
      </c>
      <c r="M46" s="6">
        <v>1635095.8565173068</v>
      </c>
      <c r="N46" s="6">
        <v>735793.13543278805</v>
      </c>
      <c r="O46" s="6">
        <v>899302.72108451871</v>
      </c>
      <c r="P46" s="4">
        <v>1</v>
      </c>
      <c r="Q46" s="4">
        <v>0</v>
      </c>
    </row>
    <row r="47" spans="1:17" x14ac:dyDescent="0.35">
      <c r="A47" t="s">
        <v>33</v>
      </c>
      <c r="B47" s="4">
        <v>2016</v>
      </c>
      <c r="C47" s="4">
        <v>3</v>
      </c>
      <c r="D47" s="4">
        <v>2025</v>
      </c>
      <c r="E47" s="5">
        <v>42501</v>
      </c>
      <c r="F47" s="5">
        <v>42596</v>
      </c>
      <c r="G47" t="s">
        <v>20</v>
      </c>
      <c r="H47" t="s">
        <v>34</v>
      </c>
      <c r="I47" t="s">
        <v>29</v>
      </c>
      <c r="J47" s="6">
        <v>4998000</v>
      </c>
      <c r="K47" s="6">
        <v>137000</v>
      </c>
      <c r="L47" s="6">
        <v>2420139.3220122303</v>
      </c>
      <c r="M47" s="6">
        <v>1754246.6623416524</v>
      </c>
      <c r="N47" s="6">
        <v>1052547.9974049914</v>
      </c>
      <c r="O47" s="6">
        <v>701698.66493666102</v>
      </c>
      <c r="P47" s="4">
        <v>1</v>
      </c>
      <c r="Q47" s="4">
        <v>0</v>
      </c>
    </row>
    <row r="48" spans="1:17" x14ac:dyDescent="0.35">
      <c r="A48" t="s">
        <v>33</v>
      </c>
      <c r="B48" s="4">
        <v>2016</v>
      </c>
      <c r="C48" s="4">
        <v>4</v>
      </c>
      <c r="D48" s="4">
        <v>2025</v>
      </c>
      <c r="E48" s="5">
        <v>42501</v>
      </c>
      <c r="F48" s="5">
        <v>42596</v>
      </c>
      <c r="G48" t="s">
        <v>20</v>
      </c>
      <c r="H48" t="s">
        <v>34</v>
      </c>
      <c r="I48" t="s">
        <v>29</v>
      </c>
      <c r="J48" s="6">
        <v>4998000</v>
      </c>
      <c r="K48" s="6">
        <v>137000</v>
      </c>
      <c r="L48" s="6">
        <v>2420139.3220122303</v>
      </c>
      <c r="M48" s="6">
        <v>2037506.2747889271</v>
      </c>
      <c r="N48" s="6">
        <v>1467004.5178480274</v>
      </c>
      <c r="O48" s="6">
        <v>570501.75694089965</v>
      </c>
      <c r="P48" s="4">
        <v>1</v>
      </c>
      <c r="Q48" s="4">
        <v>0</v>
      </c>
    </row>
    <row r="49" spans="1:17" x14ac:dyDescent="0.35">
      <c r="A49" t="s">
        <v>33</v>
      </c>
      <c r="B49" s="4">
        <v>2016</v>
      </c>
      <c r="C49" s="4">
        <v>5</v>
      </c>
      <c r="D49" s="4">
        <v>2025</v>
      </c>
      <c r="E49" s="5">
        <v>42501</v>
      </c>
      <c r="F49" s="5">
        <v>42596</v>
      </c>
      <c r="G49" t="s">
        <v>20</v>
      </c>
      <c r="H49" t="s">
        <v>34</v>
      </c>
      <c r="I49" t="s">
        <v>29</v>
      </c>
      <c r="J49" s="6">
        <v>4998000</v>
      </c>
      <c r="K49" s="6">
        <v>137000</v>
      </c>
      <c r="L49" s="6">
        <v>2420139.3220122303</v>
      </c>
      <c r="M49" s="6">
        <v>2127347.7003441951</v>
      </c>
      <c r="N49" s="6">
        <v>1744425.1142822399</v>
      </c>
      <c r="O49" s="6">
        <v>382922.5860619552</v>
      </c>
      <c r="P49" s="4">
        <v>1</v>
      </c>
      <c r="Q49" s="4">
        <v>0</v>
      </c>
    </row>
    <row r="50" spans="1:17" x14ac:dyDescent="0.35">
      <c r="A50" t="s">
        <v>33</v>
      </c>
      <c r="B50" s="4">
        <v>2016</v>
      </c>
      <c r="C50" s="4">
        <v>6</v>
      </c>
      <c r="D50" s="4">
        <v>2025</v>
      </c>
      <c r="E50" s="5">
        <v>42501</v>
      </c>
      <c r="F50" s="5">
        <v>42596</v>
      </c>
      <c r="G50" t="s">
        <v>20</v>
      </c>
      <c r="H50" t="s">
        <v>34</v>
      </c>
      <c r="I50" t="s">
        <v>29</v>
      </c>
      <c r="J50" s="6">
        <v>4998000</v>
      </c>
      <c r="K50" s="6">
        <v>137000</v>
      </c>
      <c r="L50" s="6">
        <v>2420139.3220122303</v>
      </c>
      <c r="M50" s="6">
        <v>2144509.6470201248</v>
      </c>
      <c r="N50" s="6">
        <v>1930058.6823181123</v>
      </c>
      <c r="O50" s="6">
        <v>214450.96470201248</v>
      </c>
      <c r="P50" s="4">
        <v>1</v>
      </c>
      <c r="Q50" s="4">
        <v>0</v>
      </c>
    </row>
    <row r="51" spans="1:17" x14ac:dyDescent="0.35">
      <c r="A51" t="s">
        <v>33</v>
      </c>
      <c r="B51" s="4">
        <v>2016</v>
      </c>
      <c r="C51" s="4">
        <v>7</v>
      </c>
      <c r="D51" s="4">
        <v>2025</v>
      </c>
      <c r="E51" s="5">
        <v>42501</v>
      </c>
      <c r="F51" s="5">
        <v>42596</v>
      </c>
      <c r="G51" t="s">
        <v>20</v>
      </c>
      <c r="H51" t="s">
        <v>34</v>
      </c>
      <c r="I51" t="s">
        <v>29</v>
      </c>
      <c r="J51" s="6">
        <v>4998000</v>
      </c>
      <c r="K51" s="6">
        <v>137000</v>
      </c>
      <c r="L51" s="6">
        <v>2420139.3220122303</v>
      </c>
      <c r="M51" s="6">
        <v>2303837.6022779574</v>
      </c>
      <c r="N51" s="6">
        <v>2303837.6022779574</v>
      </c>
      <c r="O51" s="6">
        <v>0</v>
      </c>
      <c r="P51" s="4">
        <v>1</v>
      </c>
      <c r="Q51" s="4">
        <v>1</v>
      </c>
    </row>
    <row r="52" spans="1:17" x14ac:dyDescent="0.35">
      <c r="A52" t="s">
        <v>33</v>
      </c>
      <c r="B52" s="4">
        <v>2016</v>
      </c>
      <c r="C52" s="4">
        <v>8</v>
      </c>
      <c r="D52" s="4">
        <v>2025</v>
      </c>
      <c r="E52" s="5">
        <v>42501</v>
      </c>
      <c r="F52" s="5">
        <v>42596</v>
      </c>
      <c r="G52" t="s">
        <v>20</v>
      </c>
      <c r="H52" t="s">
        <v>34</v>
      </c>
      <c r="I52" t="s">
        <v>29</v>
      </c>
      <c r="J52" s="6">
        <v>4998000</v>
      </c>
      <c r="K52" s="6">
        <v>137000</v>
      </c>
      <c r="L52" s="6">
        <v>2420139.3220122303</v>
      </c>
      <c r="M52" s="6">
        <v>2420139.3220122303</v>
      </c>
      <c r="N52" s="6">
        <v>2420139.3220122303</v>
      </c>
      <c r="O52" s="6">
        <v>0</v>
      </c>
      <c r="P52" s="4">
        <v>1</v>
      </c>
      <c r="Q52" s="4">
        <v>1</v>
      </c>
    </row>
    <row r="53" spans="1:17" x14ac:dyDescent="0.35">
      <c r="A53" t="s">
        <v>33</v>
      </c>
      <c r="B53" s="4">
        <v>2016</v>
      </c>
      <c r="C53" s="4">
        <v>9</v>
      </c>
      <c r="D53" s="4">
        <v>2025</v>
      </c>
      <c r="E53" s="5">
        <v>42501</v>
      </c>
      <c r="F53" s="5">
        <v>42596</v>
      </c>
      <c r="G53" t="s">
        <v>20</v>
      </c>
      <c r="H53" t="s">
        <v>34</v>
      </c>
      <c r="I53" t="s">
        <v>29</v>
      </c>
      <c r="J53" s="6">
        <v>4998000</v>
      </c>
      <c r="K53" s="6">
        <v>137000</v>
      </c>
      <c r="L53" s="6">
        <v>2420139.3220122303</v>
      </c>
      <c r="M53" s="6">
        <v>2420139.3220122303</v>
      </c>
      <c r="N53" s="6">
        <v>2420139.3220122303</v>
      </c>
      <c r="O53" s="6">
        <v>0</v>
      </c>
      <c r="P53" s="4">
        <v>1</v>
      </c>
      <c r="Q53" s="4">
        <v>1</v>
      </c>
    </row>
    <row r="54" spans="1:17" x14ac:dyDescent="0.35">
      <c r="A54" t="s">
        <v>35</v>
      </c>
      <c r="B54" s="4">
        <v>2016</v>
      </c>
      <c r="C54" s="4">
        <v>0</v>
      </c>
      <c r="D54" s="4">
        <v>2025</v>
      </c>
      <c r="E54" s="5">
        <v>42478</v>
      </c>
      <c r="F54" s="5">
        <v>42631</v>
      </c>
      <c r="G54" t="s">
        <v>36</v>
      </c>
      <c r="H54" t="s">
        <v>31</v>
      </c>
      <c r="I54" t="s">
        <v>37</v>
      </c>
      <c r="J54" s="6">
        <v>1018000</v>
      </c>
      <c r="K54" s="6">
        <v>108000</v>
      </c>
      <c r="L54" s="6">
        <v>545463.80023096036</v>
      </c>
      <c r="M54" s="6">
        <v>166379.50591571492</v>
      </c>
      <c r="N54" s="6">
        <v>16637.950591571494</v>
      </c>
      <c r="O54" s="6">
        <v>149741.55532414344</v>
      </c>
      <c r="P54" s="4">
        <v>1</v>
      </c>
      <c r="Q54" s="4">
        <v>0</v>
      </c>
    </row>
    <row r="55" spans="1:17" x14ac:dyDescent="0.35">
      <c r="A55" t="s">
        <v>35</v>
      </c>
      <c r="B55" s="4">
        <v>2016</v>
      </c>
      <c r="C55" s="4">
        <v>1</v>
      </c>
      <c r="D55" s="4">
        <v>2025</v>
      </c>
      <c r="E55" s="5">
        <v>42478</v>
      </c>
      <c r="F55" s="5">
        <v>42631</v>
      </c>
      <c r="G55" t="s">
        <v>36</v>
      </c>
      <c r="H55" t="s">
        <v>31</v>
      </c>
      <c r="I55" t="s">
        <v>37</v>
      </c>
      <c r="J55" s="6">
        <v>1018000</v>
      </c>
      <c r="K55" s="6">
        <v>108000</v>
      </c>
      <c r="L55" s="6">
        <v>545463.80023096036</v>
      </c>
      <c r="M55" s="6">
        <v>268267.23859894415</v>
      </c>
      <c r="N55" s="6">
        <v>80480.171579683243</v>
      </c>
      <c r="O55" s="6">
        <v>187787.0670192609</v>
      </c>
      <c r="P55" s="4">
        <v>1</v>
      </c>
      <c r="Q55" s="4">
        <v>0</v>
      </c>
    </row>
    <row r="56" spans="1:17" x14ac:dyDescent="0.35">
      <c r="A56" t="s">
        <v>35</v>
      </c>
      <c r="B56" s="4">
        <v>2016</v>
      </c>
      <c r="C56" s="4">
        <v>2</v>
      </c>
      <c r="D56" s="4">
        <v>2025</v>
      </c>
      <c r="E56" s="5">
        <v>42478</v>
      </c>
      <c r="F56" s="5">
        <v>42631</v>
      </c>
      <c r="G56" t="s">
        <v>36</v>
      </c>
      <c r="H56" t="s">
        <v>31</v>
      </c>
      <c r="I56" t="s">
        <v>37</v>
      </c>
      <c r="J56" s="6">
        <v>1018000</v>
      </c>
      <c r="K56" s="6">
        <v>108000</v>
      </c>
      <c r="L56" s="6">
        <v>545463.80023096036</v>
      </c>
      <c r="M56" s="6">
        <v>366535.69179979077</v>
      </c>
      <c r="N56" s="6">
        <v>164941.06130990584</v>
      </c>
      <c r="O56" s="6">
        <v>201594.63048988493</v>
      </c>
      <c r="P56" s="4">
        <v>1</v>
      </c>
      <c r="Q56" s="4">
        <v>0</v>
      </c>
    </row>
    <row r="57" spans="1:17" x14ac:dyDescent="0.35">
      <c r="A57" t="s">
        <v>35</v>
      </c>
      <c r="B57" s="4">
        <v>2016</v>
      </c>
      <c r="C57" s="4">
        <v>3</v>
      </c>
      <c r="D57" s="4">
        <v>2025</v>
      </c>
      <c r="E57" s="5">
        <v>42478</v>
      </c>
      <c r="F57" s="5">
        <v>42631</v>
      </c>
      <c r="G57" t="s">
        <v>36</v>
      </c>
      <c r="H57" t="s">
        <v>31</v>
      </c>
      <c r="I57" t="s">
        <v>37</v>
      </c>
      <c r="J57" s="6">
        <v>1018000</v>
      </c>
      <c r="K57" s="6">
        <v>108000</v>
      </c>
      <c r="L57" s="6">
        <v>545463.80023096036</v>
      </c>
      <c r="M57" s="6">
        <v>408931.91235501354</v>
      </c>
      <c r="N57" s="6">
        <v>245359.14741300812</v>
      </c>
      <c r="O57" s="6">
        <v>163572.76494200542</v>
      </c>
      <c r="P57" s="4">
        <v>1</v>
      </c>
      <c r="Q57" s="4">
        <v>0</v>
      </c>
    </row>
    <row r="58" spans="1:17" x14ac:dyDescent="0.35">
      <c r="A58" t="s">
        <v>35</v>
      </c>
      <c r="B58" s="4">
        <v>2016</v>
      </c>
      <c r="C58" s="4">
        <v>4</v>
      </c>
      <c r="D58" s="4">
        <v>2025</v>
      </c>
      <c r="E58" s="5">
        <v>42478</v>
      </c>
      <c r="F58" s="5">
        <v>42631</v>
      </c>
      <c r="G58" t="s">
        <v>36</v>
      </c>
      <c r="H58" t="s">
        <v>31</v>
      </c>
      <c r="I58" t="s">
        <v>37</v>
      </c>
      <c r="J58" s="6">
        <v>1018000</v>
      </c>
      <c r="K58" s="6">
        <v>108000</v>
      </c>
      <c r="L58" s="6">
        <v>545463.80023096036</v>
      </c>
      <c r="M58" s="6">
        <v>448656.58745147887</v>
      </c>
      <c r="N58" s="6">
        <v>323032.74296506477</v>
      </c>
      <c r="O58" s="6">
        <v>125623.84448641411</v>
      </c>
      <c r="P58" s="4">
        <v>1</v>
      </c>
      <c r="Q58" s="4">
        <v>0</v>
      </c>
    </row>
    <row r="59" spans="1:17" x14ac:dyDescent="0.35">
      <c r="A59" t="s">
        <v>35</v>
      </c>
      <c r="B59" s="4">
        <v>2016</v>
      </c>
      <c r="C59" s="4">
        <v>5</v>
      </c>
      <c r="D59" s="4">
        <v>2025</v>
      </c>
      <c r="E59" s="5">
        <v>42478</v>
      </c>
      <c r="F59" s="5">
        <v>42631</v>
      </c>
      <c r="G59" t="s">
        <v>36</v>
      </c>
      <c r="H59" t="s">
        <v>31</v>
      </c>
      <c r="I59" t="s">
        <v>37</v>
      </c>
      <c r="J59" s="6">
        <v>1018000</v>
      </c>
      <c r="K59" s="6">
        <v>108000</v>
      </c>
      <c r="L59" s="6">
        <v>545463.80023096036</v>
      </c>
      <c r="M59" s="6">
        <v>457679.88180519181</v>
      </c>
      <c r="N59" s="6">
        <v>375297.50308025727</v>
      </c>
      <c r="O59" s="6">
        <v>82382.378724934533</v>
      </c>
      <c r="P59" s="4">
        <v>1</v>
      </c>
      <c r="Q59" s="4">
        <v>0</v>
      </c>
    </row>
    <row r="60" spans="1:17" x14ac:dyDescent="0.35">
      <c r="A60" t="s">
        <v>35</v>
      </c>
      <c r="B60" s="4">
        <v>2016</v>
      </c>
      <c r="C60" s="4">
        <v>6</v>
      </c>
      <c r="D60" s="4">
        <v>2025</v>
      </c>
      <c r="E60" s="5">
        <v>42478</v>
      </c>
      <c r="F60" s="5">
        <v>42631</v>
      </c>
      <c r="G60" t="s">
        <v>36</v>
      </c>
      <c r="H60" t="s">
        <v>31</v>
      </c>
      <c r="I60" t="s">
        <v>37</v>
      </c>
      <c r="J60" s="6">
        <v>1018000</v>
      </c>
      <c r="K60" s="6">
        <v>108000</v>
      </c>
      <c r="L60" s="6">
        <v>545463.80023096036</v>
      </c>
      <c r="M60" s="6">
        <v>503122.37388888991</v>
      </c>
      <c r="N60" s="6">
        <v>503122.37388888991</v>
      </c>
      <c r="O60" s="6">
        <v>0</v>
      </c>
      <c r="P60" s="4">
        <v>1</v>
      </c>
      <c r="Q60" s="4">
        <v>1</v>
      </c>
    </row>
    <row r="61" spans="1:17" x14ac:dyDescent="0.35">
      <c r="A61" t="s">
        <v>35</v>
      </c>
      <c r="B61" s="4">
        <v>2016</v>
      </c>
      <c r="C61" s="4">
        <v>7</v>
      </c>
      <c r="D61" s="4">
        <v>2025</v>
      </c>
      <c r="E61" s="5">
        <v>42478</v>
      </c>
      <c r="F61" s="5">
        <v>42631</v>
      </c>
      <c r="G61" t="s">
        <v>36</v>
      </c>
      <c r="H61" t="s">
        <v>31</v>
      </c>
      <c r="I61" t="s">
        <v>37</v>
      </c>
      <c r="J61" s="6">
        <v>1018000</v>
      </c>
      <c r="K61" s="6">
        <v>108000</v>
      </c>
      <c r="L61" s="6">
        <v>545463.80023096036</v>
      </c>
      <c r="M61" s="6">
        <v>545463.80023096036</v>
      </c>
      <c r="N61" s="6">
        <v>545463.80023096036</v>
      </c>
      <c r="O61" s="6">
        <v>0</v>
      </c>
      <c r="P61" s="4">
        <v>1</v>
      </c>
      <c r="Q61" s="4">
        <v>1</v>
      </c>
    </row>
    <row r="62" spans="1:17" x14ac:dyDescent="0.35">
      <c r="A62" t="s">
        <v>35</v>
      </c>
      <c r="B62" s="4">
        <v>2016</v>
      </c>
      <c r="C62" s="4">
        <v>8</v>
      </c>
      <c r="D62" s="4">
        <v>2025</v>
      </c>
      <c r="E62" s="5">
        <v>42478</v>
      </c>
      <c r="F62" s="5">
        <v>42631</v>
      </c>
      <c r="G62" t="s">
        <v>36</v>
      </c>
      <c r="H62" t="s">
        <v>31</v>
      </c>
      <c r="I62" t="s">
        <v>37</v>
      </c>
      <c r="J62" s="6">
        <v>1018000</v>
      </c>
      <c r="K62" s="6">
        <v>108000</v>
      </c>
      <c r="L62" s="6">
        <v>545463.80023096036</v>
      </c>
      <c r="M62" s="6">
        <v>545463.80023096036</v>
      </c>
      <c r="N62" s="6">
        <v>545463.80023096036</v>
      </c>
      <c r="O62" s="6">
        <v>0</v>
      </c>
      <c r="P62" s="4">
        <v>1</v>
      </c>
      <c r="Q62" s="4">
        <v>1</v>
      </c>
    </row>
    <row r="63" spans="1:17" x14ac:dyDescent="0.35">
      <c r="A63" t="s">
        <v>35</v>
      </c>
      <c r="B63" s="4">
        <v>2016</v>
      </c>
      <c r="C63" s="4">
        <v>9</v>
      </c>
      <c r="D63" s="4">
        <v>2025</v>
      </c>
      <c r="E63" s="5">
        <v>42478</v>
      </c>
      <c r="F63" s="5">
        <v>42631</v>
      </c>
      <c r="G63" t="s">
        <v>36</v>
      </c>
      <c r="H63" t="s">
        <v>31</v>
      </c>
      <c r="I63" t="s">
        <v>37</v>
      </c>
      <c r="J63" s="6">
        <v>1018000</v>
      </c>
      <c r="K63" s="6">
        <v>108000</v>
      </c>
      <c r="L63" s="6">
        <v>545463.80023096036</v>
      </c>
      <c r="M63" s="6">
        <v>545463.80023096036</v>
      </c>
      <c r="N63" s="6">
        <v>545463.80023096036</v>
      </c>
      <c r="O63" s="6">
        <v>0</v>
      </c>
      <c r="P63" s="4">
        <v>1</v>
      </c>
      <c r="Q63" s="4">
        <v>1</v>
      </c>
    </row>
    <row r="64" spans="1:17" x14ac:dyDescent="0.35">
      <c r="A64" t="s">
        <v>38</v>
      </c>
      <c r="B64" s="4">
        <v>2016</v>
      </c>
      <c r="C64" s="4">
        <v>0</v>
      </c>
      <c r="D64" s="4">
        <v>2025</v>
      </c>
      <c r="E64" s="5">
        <v>42636</v>
      </c>
      <c r="F64" s="5">
        <v>42780</v>
      </c>
      <c r="G64" t="s">
        <v>27</v>
      </c>
      <c r="H64" t="s">
        <v>21</v>
      </c>
      <c r="I64" t="s">
        <v>39</v>
      </c>
      <c r="J64" s="6">
        <v>1660000</v>
      </c>
      <c r="K64" s="6">
        <v>203000</v>
      </c>
      <c r="L64" s="6">
        <v>745750.45499555394</v>
      </c>
      <c r="M64" s="6">
        <v>225355.74749369023</v>
      </c>
      <c r="N64" s="6">
        <v>22535.574749369025</v>
      </c>
      <c r="O64" s="6">
        <v>202820.1727443212</v>
      </c>
      <c r="P64" s="4">
        <v>1</v>
      </c>
      <c r="Q64" s="4">
        <v>0</v>
      </c>
    </row>
    <row r="65" spans="1:17" x14ac:dyDescent="0.35">
      <c r="A65" t="s">
        <v>38</v>
      </c>
      <c r="B65" s="4">
        <v>2016</v>
      </c>
      <c r="C65" s="4">
        <v>1</v>
      </c>
      <c r="D65" s="4">
        <v>2025</v>
      </c>
      <c r="E65" s="5">
        <v>42636</v>
      </c>
      <c r="F65" s="5">
        <v>42780</v>
      </c>
      <c r="G65" t="s">
        <v>27</v>
      </c>
      <c r="H65" t="s">
        <v>21</v>
      </c>
      <c r="I65" t="s">
        <v>39</v>
      </c>
      <c r="J65" s="6">
        <v>1660000</v>
      </c>
      <c r="K65" s="6">
        <v>203000</v>
      </c>
      <c r="L65" s="6">
        <v>745750.45499555394</v>
      </c>
      <c r="M65" s="6">
        <v>386072.61003568023</v>
      </c>
      <c r="N65" s="6">
        <v>115821.78301070406</v>
      </c>
      <c r="O65" s="6">
        <v>270250.82702497614</v>
      </c>
      <c r="P65" s="4">
        <v>1</v>
      </c>
      <c r="Q65" s="4">
        <v>0</v>
      </c>
    </row>
    <row r="66" spans="1:17" x14ac:dyDescent="0.35">
      <c r="A66" t="s">
        <v>38</v>
      </c>
      <c r="B66" s="4">
        <v>2016</v>
      </c>
      <c r="C66" s="4">
        <v>2</v>
      </c>
      <c r="D66" s="4">
        <v>2025</v>
      </c>
      <c r="E66" s="5">
        <v>42636</v>
      </c>
      <c r="F66" s="5">
        <v>42780</v>
      </c>
      <c r="G66" t="s">
        <v>27</v>
      </c>
      <c r="H66" t="s">
        <v>21</v>
      </c>
      <c r="I66" t="s">
        <v>39</v>
      </c>
      <c r="J66" s="6">
        <v>1660000</v>
      </c>
      <c r="K66" s="6">
        <v>203000</v>
      </c>
      <c r="L66" s="6">
        <v>745750.45499555394</v>
      </c>
      <c r="M66" s="6">
        <v>444912.07693570765</v>
      </c>
      <c r="N66" s="6">
        <v>200210.43462106845</v>
      </c>
      <c r="O66" s="6">
        <v>244701.6423146392</v>
      </c>
      <c r="P66" s="4">
        <v>1</v>
      </c>
      <c r="Q66" s="4">
        <v>0</v>
      </c>
    </row>
    <row r="67" spans="1:17" x14ac:dyDescent="0.35">
      <c r="A67" t="s">
        <v>38</v>
      </c>
      <c r="B67" s="4">
        <v>2016</v>
      </c>
      <c r="C67" s="4">
        <v>3</v>
      </c>
      <c r="D67" s="4">
        <v>2025</v>
      </c>
      <c r="E67" s="5">
        <v>42636</v>
      </c>
      <c r="F67" s="5">
        <v>42780</v>
      </c>
      <c r="G67" t="s">
        <v>27</v>
      </c>
      <c r="H67" t="s">
        <v>21</v>
      </c>
      <c r="I67" t="s">
        <v>39</v>
      </c>
      <c r="J67" s="6">
        <v>1660000</v>
      </c>
      <c r="K67" s="6">
        <v>203000</v>
      </c>
      <c r="L67" s="6">
        <v>745750.45499555394</v>
      </c>
      <c r="M67" s="6">
        <v>537782.41775495023</v>
      </c>
      <c r="N67" s="6">
        <v>322669.45065297012</v>
      </c>
      <c r="O67" s="6">
        <v>215112.96710198012</v>
      </c>
      <c r="P67" s="4">
        <v>1</v>
      </c>
      <c r="Q67" s="4">
        <v>0</v>
      </c>
    </row>
    <row r="68" spans="1:17" x14ac:dyDescent="0.35">
      <c r="A68" t="s">
        <v>38</v>
      </c>
      <c r="B68" s="4">
        <v>2016</v>
      </c>
      <c r="C68" s="4">
        <v>4</v>
      </c>
      <c r="D68" s="4">
        <v>2025</v>
      </c>
      <c r="E68" s="5">
        <v>42636</v>
      </c>
      <c r="F68" s="5">
        <v>42780</v>
      </c>
      <c r="G68" t="s">
        <v>27</v>
      </c>
      <c r="H68" t="s">
        <v>21</v>
      </c>
      <c r="I68" t="s">
        <v>39</v>
      </c>
      <c r="J68" s="6">
        <v>1660000</v>
      </c>
      <c r="K68" s="6">
        <v>203000</v>
      </c>
      <c r="L68" s="6">
        <v>745750.45499555394</v>
      </c>
      <c r="M68" s="6">
        <v>619372.8426066559</v>
      </c>
      <c r="N68" s="6">
        <v>445948.44667679223</v>
      </c>
      <c r="O68" s="6">
        <v>173424.39592986368</v>
      </c>
      <c r="P68" s="4">
        <v>1</v>
      </c>
      <c r="Q68" s="4">
        <v>0</v>
      </c>
    </row>
    <row r="69" spans="1:17" x14ac:dyDescent="0.35">
      <c r="A69" t="s">
        <v>38</v>
      </c>
      <c r="B69" s="4">
        <v>2016</v>
      </c>
      <c r="C69" s="4">
        <v>5</v>
      </c>
      <c r="D69" s="4">
        <v>2025</v>
      </c>
      <c r="E69" s="5">
        <v>42636</v>
      </c>
      <c r="F69" s="5">
        <v>42780</v>
      </c>
      <c r="G69" t="s">
        <v>27</v>
      </c>
      <c r="H69" t="s">
        <v>21</v>
      </c>
      <c r="I69" t="s">
        <v>39</v>
      </c>
      <c r="J69" s="6">
        <v>1660000</v>
      </c>
      <c r="K69" s="6">
        <v>203000</v>
      </c>
      <c r="L69" s="6">
        <v>745750.45499555394</v>
      </c>
      <c r="M69" s="6">
        <v>621923.4653921501</v>
      </c>
      <c r="N69" s="6">
        <v>621923.4653921501</v>
      </c>
      <c r="O69" s="6">
        <v>0</v>
      </c>
      <c r="P69" s="4">
        <v>1</v>
      </c>
      <c r="Q69" s="4">
        <v>1</v>
      </c>
    </row>
    <row r="70" spans="1:17" x14ac:dyDescent="0.35">
      <c r="A70" t="s">
        <v>38</v>
      </c>
      <c r="B70" s="4">
        <v>2016</v>
      </c>
      <c r="C70" s="4">
        <v>6</v>
      </c>
      <c r="D70" s="4">
        <v>2025</v>
      </c>
      <c r="E70" s="5">
        <v>42636</v>
      </c>
      <c r="F70" s="5">
        <v>42780</v>
      </c>
      <c r="G70" t="s">
        <v>27</v>
      </c>
      <c r="H70" t="s">
        <v>21</v>
      </c>
      <c r="I70" t="s">
        <v>39</v>
      </c>
      <c r="J70" s="6">
        <v>1660000</v>
      </c>
      <c r="K70" s="6">
        <v>203000</v>
      </c>
      <c r="L70" s="6">
        <v>745750.45499555394</v>
      </c>
      <c r="M70" s="6">
        <v>690184.60079861421</v>
      </c>
      <c r="N70" s="6">
        <v>690184.60079861421</v>
      </c>
      <c r="O70" s="6">
        <v>0</v>
      </c>
      <c r="P70" s="4">
        <v>1</v>
      </c>
      <c r="Q70" s="4">
        <v>1</v>
      </c>
    </row>
    <row r="71" spans="1:17" x14ac:dyDescent="0.35">
      <c r="A71" t="s">
        <v>38</v>
      </c>
      <c r="B71" s="4">
        <v>2016</v>
      </c>
      <c r="C71" s="4">
        <v>7</v>
      </c>
      <c r="D71" s="4">
        <v>2025</v>
      </c>
      <c r="E71" s="5">
        <v>42636</v>
      </c>
      <c r="F71" s="5">
        <v>42780</v>
      </c>
      <c r="G71" t="s">
        <v>27</v>
      </c>
      <c r="H71" t="s">
        <v>21</v>
      </c>
      <c r="I71" t="s">
        <v>39</v>
      </c>
      <c r="J71" s="6">
        <v>1660000</v>
      </c>
      <c r="K71" s="6">
        <v>203000</v>
      </c>
      <c r="L71" s="6">
        <v>745750.45499555394</v>
      </c>
      <c r="M71" s="6">
        <v>738650.62168091175</v>
      </c>
      <c r="N71" s="6">
        <v>738650.62168091175</v>
      </c>
      <c r="O71" s="6">
        <v>0</v>
      </c>
      <c r="P71" s="4">
        <v>1</v>
      </c>
      <c r="Q71" s="4">
        <v>1</v>
      </c>
    </row>
    <row r="72" spans="1:17" x14ac:dyDescent="0.35">
      <c r="A72" t="s">
        <v>38</v>
      </c>
      <c r="B72" s="4">
        <v>2016</v>
      </c>
      <c r="C72" s="4">
        <v>8</v>
      </c>
      <c r="D72" s="4">
        <v>2025</v>
      </c>
      <c r="E72" s="5">
        <v>42636</v>
      </c>
      <c r="F72" s="5">
        <v>42780</v>
      </c>
      <c r="G72" t="s">
        <v>27</v>
      </c>
      <c r="H72" t="s">
        <v>21</v>
      </c>
      <c r="I72" t="s">
        <v>39</v>
      </c>
      <c r="J72" s="6">
        <v>1660000</v>
      </c>
      <c r="K72" s="6">
        <v>203000</v>
      </c>
      <c r="L72" s="6">
        <v>745750.45499555394</v>
      </c>
      <c r="M72" s="6">
        <v>738650.62168091175</v>
      </c>
      <c r="N72" s="6">
        <v>738650.62168091175</v>
      </c>
      <c r="O72" s="6">
        <v>0</v>
      </c>
      <c r="P72" s="4">
        <v>1</v>
      </c>
      <c r="Q72" s="4">
        <v>1</v>
      </c>
    </row>
    <row r="73" spans="1:17" x14ac:dyDescent="0.35">
      <c r="A73" t="s">
        <v>38</v>
      </c>
      <c r="B73" s="4">
        <v>2016</v>
      </c>
      <c r="C73" s="4">
        <v>9</v>
      </c>
      <c r="D73" s="4">
        <v>2025</v>
      </c>
      <c r="E73" s="5">
        <v>42636</v>
      </c>
      <c r="F73" s="5">
        <v>42780</v>
      </c>
      <c r="G73" t="s">
        <v>27</v>
      </c>
      <c r="H73" t="s">
        <v>21</v>
      </c>
      <c r="I73" t="s">
        <v>39</v>
      </c>
      <c r="J73" s="6">
        <v>1660000</v>
      </c>
      <c r="K73" s="6">
        <v>203000</v>
      </c>
      <c r="L73" s="6">
        <v>745750.45499555394</v>
      </c>
      <c r="M73" s="6">
        <v>745750.45499555394</v>
      </c>
      <c r="N73" s="6">
        <v>745750.45499555394</v>
      </c>
      <c r="O73" s="6">
        <v>0</v>
      </c>
      <c r="P73" s="4">
        <v>1</v>
      </c>
      <c r="Q73" s="4">
        <v>1</v>
      </c>
    </row>
    <row r="74" spans="1:17" x14ac:dyDescent="0.35">
      <c r="A74" t="s">
        <v>40</v>
      </c>
      <c r="B74" s="4">
        <v>2017</v>
      </c>
      <c r="C74" s="4">
        <v>0</v>
      </c>
      <c r="D74" s="4">
        <v>2025</v>
      </c>
      <c r="E74" s="5">
        <v>43043</v>
      </c>
      <c r="F74" s="5">
        <v>43125</v>
      </c>
      <c r="G74" t="s">
        <v>41</v>
      </c>
      <c r="H74" t="s">
        <v>42</v>
      </c>
      <c r="I74" t="s">
        <v>29</v>
      </c>
      <c r="J74" s="6">
        <v>2478000</v>
      </c>
      <c r="K74" s="6">
        <v>182000</v>
      </c>
      <c r="L74" s="6">
        <v>1248216.3373392515</v>
      </c>
      <c r="M74" s="6">
        <v>330990.42898842396</v>
      </c>
      <c r="N74" s="6">
        <v>33099.042898842396</v>
      </c>
      <c r="O74" s="6">
        <v>297891.38608958153</v>
      </c>
      <c r="P74" s="4">
        <v>1</v>
      </c>
      <c r="Q74" s="4">
        <v>0</v>
      </c>
    </row>
    <row r="75" spans="1:17" x14ac:dyDescent="0.35">
      <c r="A75" t="s">
        <v>40</v>
      </c>
      <c r="B75" s="4">
        <v>2017</v>
      </c>
      <c r="C75" s="4">
        <v>1</v>
      </c>
      <c r="D75" s="4">
        <v>2025</v>
      </c>
      <c r="E75" s="5">
        <v>43043</v>
      </c>
      <c r="F75" s="5">
        <v>43125</v>
      </c>
      <c r="G75" t="s">
        <v>41</v>
      </c>
      <c r="H75" t="s">
        <v>42</v>
      </c>
      <c r="I75" t="s">
        <v>29</v>
      </c>
      <c r="J75" s="6">
        <v>2478000</v>
      </c>
      <c r="K75" s="6">
        <v>182000</v>
      </c>
      <c r="L75" s="6">
        <v>1248216.3373392515</v>
      </c>
      <c r="M75" s="6">
        <v>606384.02318353648</v>
      </c>
      <c r="N75" s="6">
        <v>181915.20695506094</v>
      </c>
      <c r="O75" s="6">
        <v>424468.81622847554</v>
      </c>
      <c r="P75" s="4">
        <v>1</v>
      </c>
      <c r="Q75" s="4">
        <v>0</v>
      </c>
    </row>
    <row r="76" spans="1:17" x14ac:dyDescent="0.35">
      <c r="A76" t="s">
        <v>40</v>
      </c>
      <c r="B76" s="4">
        <v>2017</v>
      </c>
      <c r="C76" s="4">
        <v>2</v>
      </c>
      <c r="D76" s="4">
        <v>2025</v>
      </c>
      <c r="E76" s="5">
        <v>43043</v>
      </c>
      <c r="F76" s="5">
        <v>43125</v>
      </c>
      <c r="G76" t="s">
        <v>41</v>
      </c>
      <c r="H76" t="s">
        <v>42</v>
      </c>
      <c r="I76" t="s">
        <v>29</v>
      </c>
      <c r="J76" s="6">
        <v>2478000</v>
      </c>
      <c r="K76" s="6">
        <v>182000</v>
      </c>
      <c r="L76" s="6">
        <v>1248216.3373392515</v>
      </c>
      <c r="M76" s="6">
        <v>841956.66186270525</v>
      </c>
      <c r="N76" s="6">
        <v>841956.66186270525</v>
      </c>
      <c r="O76" s="6">
        <v>0</v>
      </c>
      <c r="P76" s="4">
        <v>1</v>
      </c>
      <c r="Q76" s="4">
        <v>1</v>
      </c>
    </row>
    <row r="77" spans="1:17" x14ac:dyDescent="0.35">
      <c r="A77" t="s">
        <v>40</v>
      </c>
      <c r="B77" s="4">
        <v>2017</v>
      </c>
      <c r="C77" s="4">
        <v>3</v>
      </c>
      <c r="D77" s="4">
        <v>2025</v>
      </c>
      <c r="E77" s="5">
        <v>43043</v>
      </c>
      <c r="F77" s="5">
        <v>43125</v>
      </c>
      <c r="G77" t="s">
        <v>41</v>
      </c>
      <c r="H77" t="s">
        <v>42</v>
      </c>
      <c r="I77" t="s">
        <v>29</v>
      </c>
      <c r="J77" s="6">
        <v>2478000</v>
      </c>
      <c r="K77" s="6">
        <v>182000</v>
      </c>
      <c r="L77" s="6">
        <v>1248216.3373392515</v>
      </c>
      <c r="M77" s="6">
        <v>932632.28823046701</v>
      </c>
      <c r="N77" s="6">
        <v>932632.28823046701</v>
      </c>
      <c r="O77" s="6">
        <v>0</v>
      </c>
      <c r="P77" s="4">
        <v>1</v>
      </c>
      <c r="Q77" s="4">
        <v>1</v>
      </c>
    </row>
    <row r="78" spans="1:17" x14ac:dyDescent="0.35">
      <c r="A78" t="s">
        <v>40</v>
      </c>
      <c r="B78" s="4">
        <v>2017</v>
      </c>
      <c r="C78" s="4">
        <v>4</v>
      </c>
      <c r="D78" s="4">
        <v>2025</v>
      </c>
      <c r="E78" s="5">
        <v>43043</v>
      </c>
      <c r="F78" s="5">
        <v>43125</v>
      </c>
      <c r="G78" t="s">
        <v>41</v>
      </c>
      <c r="H78" t="s">
        <v>42</v>
      </c>
      <c r="I78" t="s">
        <v>29</v>
      </c>
      <c r="J78" s="6">
        <v>2478000</v>
      </c>
      <c r="K78" s="6">
        <v>182000</v>
      </c>
      <c r="L78" s="6">
        <v>1248216.3373392515</v>
      </c>
      <c r="M78" s="6">
        <v>1065102.8308683326</v>
      </c>
      <c r="N78" s="6">
        <v>1065102.8308683326</v>
      </c>
      <c r="O78" s="6">
        <v>0</v>
      </c>
      <c r="P78" s="4">
        <v>1</v>
      </c>
      <c r="Q78" s="4">
        <v>1</v>
      </c>
    </row>
    <row r="79" spans="1:17" x14ac:dyDescent="0.35">
      <c r="A79" t="s">
        <v>40</v>
      </c>
      <c r="B79" s="4">
        <v>2017</v>
      </c>
      <c r="C79" s="4">
        <v>5</v>
      </c>
      <c r="D79" s="4">
        <v>2025</v>
      </c>
      <c r="E79" s="5">
        <v>43043</v>
      </c>
      <c r="F79" s="5">
        <v>43125</v>
      </c>
      <c r="G79" t="s">
        <v>41</v>
      </c>
      <c r="H79" t="s">
        <v>42</v>
      </c>
      <c r="I79" t="s">
        <v>29</v>
      </c>
      <c r="J79" s="6">
        <v>2478000</v>
      </c>
      <c r="K79" s="6">
        <v>182000</v>
      </c>
      <c r="L79" s="6">
        <v>1248216.3373392515</v>
      </c>
      <c r="M79" s="6">
        <v>1065102.8308683326</v>
      </c>
      <c r="N79" s="6">
        <v>1065102.8308683326</v>
      </c>
      <c r="O79" s="6">
        <v>0</v>
      </c>
      <c r="P79" s="4">
        <v>1</v>
      </c>
      <c r="Q79" s="4">
        <v>1</v>
      </c>
    </row>
    <row r="80" spans="1:17" x14ac:dyDescent="0.35">
      <c r="A80" t="s">
        <v>40</v>
      </c>
      <c r="B80" s="4">
        <v>2017</v>
      </c>
      <c r="C80" s="4">
        <v>6</v>
      </c>
      <c r="D80" s="4">
        <v>2025</v>
      </c>
      <c r="E80" s="5">
        <v>43043</v>
      </c>
      <c r="F80" s="5">
        <v>43125</v>
      </c>
      <c r="G80" t="s">
        <v>41</v>
      </c>
      <c r="H80" t="s">
        <v>42</v>
      </c>
      <c r="I80" t="s">
        <v>29</v>
      </c>
      <c r="J80" s="6">
        <v>2478000</v>
      </c>
      <c r="K80" s="6">
        <v>182000</v>
      </c>
      <c r="L80" s="6">
        <v>1248216.3373392515</v>
      </c>
      <c r="M80" s="6">
        <v>1116412.9311970063</v>
      </c>
      <c r="N80" s="6">
        <v>1116412.9311970063</v>
      </c>
      <c r="O80" s="6">
        <v>0</v>
      </c>
      <c r="P80" s="4">
        <v>1</v>
      </c>
      <c r="Q80" s="4">
        <v>1</v>
      </c>
    </row>
    <row r="81" spans="1:17" x14ac:dyDescent="0.35">
      <c r="A81" t="s">
        <v>40</v>
      </c>
      <c r="B81" s="4">
        <v>2017</v>
      </c>
      <c r="C81" s="4">
        <v>7</v>
      </c>
      <c r="D81" s="4">
        <v>2025</v>
      </c>
      <c r="E81" s="5">
        <v>43043</v>
      </c>
      <c r="F81" s="5">
        <v>43125</v>
      </c>
      <c r="G81" t="s">
        <v>41</v>
      </c>
      <c r="H81" t="s">
        <v>42</v>
      </c>
      <c r="I81" t="s">
        <v>29</v>
      </c>
      <c r="J81" s="6">
        <v>2478000</v>
      </c>
      <c r="K81" s="6">
        <v>182000</v>
      </c>
      <c r="L81" s="6">
        <v>1248216.3373392515</v>
      </c>
      <c r="M81" s="6">
        <v>1163398.8949506781</v>
      </c>
      <c r="N81" s="6">
        <v>1163398.8949506781</v>
      </c>
      <c r="O81" s="6">
        <v>0</v>
      </c>
      <c r="P81" s="4">
        <v>1</v>
      </c>
      <c r="Q81" s="4">
        <v>1</v>
      </c>
    </row>
    <row r="82" spans="1:17" x14ac:dyDescent="0.35">
      <c r="A82" t="s">
        <v>40</v>
      </c>
      <c r="B82" s="4">
        <v>2017</v>
      </c>
      <c r="C82" s="4">
        <v>8</v>
      </c>
      <c r="D82" s="4">
        <v>2025</v>
      </c>
      <c r="E82" s="5">
        <v>43043</v>
      </c>
      <c r="F82" s="5">
        <v>43125</v>
      </c>
      <c r="G82" t="s">
        <v>41</v>
      </c>
      <c r="H82" t="s">
        <v>42</v>
      </c>
      <c r="I82" t="s">
        <v>29</v>
      </c>
      <c r="J82" s="6">
        <v>2478000</v>
      </c>
      <c r="K82" s="6">
        <v>182000</v>
      </c>
      <c r="L82" s="6">
        <v>1248216.3373392515</v>
      </c>
      <c r="M82" s="6">
        <v>1163398.8949506781</v>
      </c>
      <c r="N82" s="6">
        <v>1163398.8949506781</v>
      </c>
      <c r="O82" s="6">
        <v>0</v>
      </c>
      <c r="P82" s="4">
        <v>1</v>
      </c>
      <c r="Q82" s="4">
        <v>1</v>
      </c>
    </row>
    <row r="83" spans="1:17" x14ac:dyDescent="0.35">
      <c r="A83" t="s">
        <v>43</v>
      </c>
      <c r="B83" s="4">
        <v>2017</v>
      </c>
      <c r="C83" s="4">
        <v>0</v>
      </c>
      <c r="D83" s="4">
        <v>2025</v>
      </c>
      <c r="E83" s="5">
        <v>42895</v>
      </c>
      <c r="F83" s="5">
        <v>43053</v>
      </c>
      <c r="G83" t="s">
        <v>27</v>
      </c>
      <c r="H83" t="s">
        <v>28</v>
      </c>
      <c r="I83" t="s">
        <v>37</v>
      </c>
      <c r="J83" s="6">
        <v>791000</v>
      </c>
      <c r="K83" s="6">
        <v>74000</v>
      </c>
      <c r="L83" s="6">
        <v>572802.64375367644</v>
      </c>
      <c r="M83" s="6">
        <v>162288.60735869256</v>
      </c>
      <c r="N83" s="6">
        <v>16228.860735869257</v>
      </c>
      <c r="O83" s="6">
        <v>146059.7466228233</v>
      </c>
      <c r="P83" s="4">
        <v>1</v>
      </c>
      <c r="Q83" s="4">
        <v>0</v>
      </c>
    </row>
    <row r="84" spans="1:17" x14ac:dyDescent="0.35">
      <c r="A84" t="s">
        <v>43</v>
      </c>
      <c r="B84" s="4">
        <v>2017</v>
      </c>
      <c r="C84" s="4">
        <v>1</v>
      </c>
      <c r="D84" s="4">
        <v>2025</v>
      </c>
      <c r="E84" s="5">
        <v>42895</v>
      </c>
      <c r="F84" s="5">
        <v>43053</v>
      </c>
      <c r="G84" t="s">
        <v>27</v>
      </c>
      <c r="H84" t="s">
        <v>28</v>
      </c>
      <c r="I84" t="s">
        <v>37</v>
      </c>
      <c r="J84" s="6">
        <v>791000</v>
      </c>
      <c r="K84" s="6">
        <v>74000</v>
      </c>
      <c r="L84" s="6">
        <v>572802.64375367644</v>
      </c>
      <c r="M84" s="6">
        <v>292766.39725217049</v>
      </c>
      <c r="N84" s="6">
        <v>87829.919175651143</v>
      </c>
      <c r="O84" s="6">
        <v>204936.47807651933</v>
      </c>
      <c r="P84" s="4">
        <v>1</v>
      </c>
      <c r="Q84" s="4">
        <v>0</v>
      </c>
    </row>
    <row r="85" spans="1:17" x14ac:dyDescent="0.35">
      <c r="A85" t="s">
        <v>43</v>
      </c>
      <c r="B85" s="4">
        <v>2017</v>
      </c>
      <c r="C85" s="4">
        <v>2</v>
      </c>
      <c r="D85" s="4">
        <v>2025</v>
      </c>
      <c r="E85" s="5">
        <v>42895</v>
      </c>
      <c r="F85" s="5">
        <v>43053</v>
      </c>
      <c r="G85" t="s">
        <v>27</v>
      </c>
      <c r="H85" t="s">
        <v>28</v>
      </c>
      <c r="I85" t="s">
        <v>37</v>
      </c>
      <c r="J85" s="6">
        <v>791000</v>
      </c>
      <c r="K85" s="6">
        <v>74000</v>
      </c>
      <c r="L85" s="6">
        <v>572802.64375367644</v>
      </c>
      <c r="M85" s="6">
        <v>375569.58377559262</v>
      </c>
      <c r="N85" s="6">
        <v>169006.31269901668</v>
      </c>
      <c r="O85" s="6">
        <v>206563.27107657594</v>
      </c>
      <c r="P85" s="4">
        <v>1</v>
      </c>
      <c r="Q85" s="4">
        <v>0</v>
      </c>
    </row>
    <row r="86" spans="1:17" x14ac:dyDescent="0.35">
      <c r="A86" t="s">
        <v>43</v>
      </c>
      <c r="B86" s="4">
        <v>2017</v>
      </c>
      <c r="C86" s="4">
        <v>3</v>
      </c>
      <c r="D86" s="4">
        <v>2025</v>
      </c>
      <c r="E86" s="5">
        <v>42895</v>
      </c>
      <c r="F86" s="5">
        <v>43053</v>
      </c>
      <c r="G86" t="s">
        <v>27</v>
      </c>
      <c r="H86" t="s">
        <v>28</v>
      </c>
      <c r="I86" t="s">
        <v>37</v>
      </c>
      <c r="J86" s="6">
        <v>791000</v>
      </c>
      <c r="K86" s="6">
        <v>74000</v>
      </c>
      <c r="L86" s="6">
        <v>572802.64375367644</v>
      </c>
      <c r="M86" s="6">
        <v>398272.88181892195</v>
      </c>
      <c r="N86" s="6">
        <v>398272.88181892195</v>
      </c>
      <c r="O86" s="6">
        <v>0</v>
      </c>
      <c r="P86" s="4">
        <v>1</v>
      </c>
      <c r="Q86" s="4">
        <v>1</v>
      </c>
    </row>
    <row r="87" spans="1:17" x14ac:dyDescent="0.35">
      <c r="A87" t="s">
        <v>43</v>
      </c>
      <c r="B87" s="4">
        <v>2017</v>
      </c>
      <c r="C87" s="4">
        <v>4</v>
      </c>
      <c r="D87" s="4">
        <v>2025</v>
      </c>
      <c r="E87" s="5">
        <v>42895</v>
      </c>
      <c r="F87" s="5">
        <v>43053</v>
      </c>
      <c r="G87" t="s">
        <v>27</v>
      </c>
      <c r="H87" t="s">
        <v>28</v>
      </c>
      <c r="I87" t="s">
        <v>37</v>
      </c>
      <c r="J87" s="6">
        <v>791000</v>
      </c>
      <c r="K87" s="6">
        <v>74000</v>
      </c>
      <c r="L87" s="6">
        <v>572802.64375367644</v>
      </c>
      <c r="M87" s="6">
        <v>465634.32643047092</v>
      </c>
      <c r="N87" s="6">
        <v>465634.32643047092</v>
      </c>
      <c r="O87" s="6">
        <v>0</v>
      </c>
      <c r="P87" s="4">
        <v>1</v>
      </c>
      <c r="Q87" s="4">
        <v>1</v>
      </c>
    </row>
    <row r="88" spans="1:17" x14ac:dyDescent="0.35">
      <c r="A88" t="s">
        <v>43</v>
      </c>
      <c r="B88" s="4">
        <v>2017</v>
      </c>
      <c r="C88" s="4">
        <v>5</v>
      </c>
      <c r="D88" s="4">
        <v>2025</v>
      </c>
      <c r="E88" s="5">
        <v>42895</v>
      </c>
      <c r="F88" s="5">
        <v>43053</v>
      </c>
      <c r="G88" t="s">
        <v>27</v>
      </c>
      <c r="H88" t="s">
        <v>28</v>
      </c>
      <c r="I88" t="s">
        <v>37</v>
      </c>
      <c r="J88" s="6">
        <v>791000</v>
      </c>
      <c r="K88" s="6">
        <v>74000</v>
      </c>
      <c r="L88" s="6">
        <v>572802.64375367644</v>
      </c>
      <c r="M88" s="6">
        <v>513757.63124196127</v>
      </c>
      <c r="N88" s="6">
        <v>513757.63124196127</v>
      </c>
      <c r="O88" s="6">
        <v>0</v>
      </c>
      <c r="P88" s="4">
        <v>1</v>
      </c>
      <c r="Q88" s="4">
        <v>1</v>
      </c>
    </row>
    <row r="89" spans="1:17" x14ac:dyDescent="0.35">
      <c r="A89" t="s">
        <v>43</v>
      </c>
      <c r="B89" s="4">
        <v>2017</v>
      </c>
      <c r="C89" s="4">
        <v>6</v>
      </c>
      <c r="D89" s="4">
        <v>2025</v>
      </c>
      <c r="E89" s="5">
        <v>42895</v>
      </c>
      <c r="F89" s="5">
        <v>43053</v>
      </c>
      <c r="G89" t="s">
        <v>27</v>
      </c>
      <c r="H89" t="s">
        <v>28</v>
      </c>
      <c r="I89" t="s">
        <v>37</v>
      </c>
      <c r="J89" s="6">
        <v>791000</v>
      </c>
      <c r="K89" s="6">
        <v>74000</v>
      </c>
      <c r="L89" s="6">
        <v>572802.64375367644</v>
      </c>
      <c r="M89" s="6">
        <v>558768.72213265987</v>
      </c>
      <c r="N89" s="6">
        <v>558768.72213265987</v>
      </c>
      <c r="O89" s="6">
        <v>0</v>
      </c>
      <c r="P89" s="4">
        <v>1</v>
      </c>
      <c r="Q89" s="4">
        <v>1</v>
      </c>
    </row>
    <row r="90" spans="1:17" x14ac:dyDescent="0.35">
      <c r="A90" t="s">
        <v>43</v>
      </c>
      <c r="B90" s="4">
        <v>2017</v>
      </c>
      <c r="C90" s="4">
        <v>7</v>
      </c>
      <c r="D90" s="4">
        <v>2025</v>
      </c>
      <c r="E90" s="5">
        <v>42895</v>
      </c>
      <c r="F90" s="5">
        <v>43053</v>
      </c>
      <c r="G90" t="s">
        <v>27</v>
      </c>
      <c r="H90" t="s">
        <v>28</v>
      </c>
      <c r="I90" t="s">
        <v>37</v>
      </c>
      <c r="J90" s="6">
        <v>791000</v>
      </c>
      <c r="K90" s="6">
        <v>74000</v>
      </c>
      <c r="L90" s="6">
        <v>572802.64375367644</v>
      </c>
      <c r="M90" s="6">
        <v>558768.72213265987</v>
      </c>
      <c r="N90" s="6">
        <v>558768.72213265987</v>
      </c>
      <c r="O90" s="6">
        <v>0</v>
      </c>
      <c r="P90" s="4">
        <v>1</v>
      </c>
      <c r="Q90" s="4">
        <v>1</v>
      </c>
    </row>
    <row r="91" spans="1:17" x14ac:dyDescent="0.35">
      <c r="A91" t="s">
        <v>43</v>
      </c>
      <c r="B91" s="4">
        <v>2017</v>
      </c>
      <c r="C91" s="4">
        <v>8</v>
      </c>
      <c r="D91" s="4">
        <v>2025</v>
      </c>
      <c r="E91" s="5">
        <v>42895</v>
      </c>
      <c r="F91" s="5">
        <v>43053</v>
      </c>
      <c r="G91" t="s">
        <v>27</v>
      </c>
      <c r="H91" t="s">
        <v>28</v>
      </c>
      <c r="I91" t="s">
        <v>37</v>
      </c>
      <c r="J91" s="6">
        <v>791000</v>
      </c>
      <c r="K91" s="6">
        <v>74000</v>
      </c>
      <c r="L91" s="6">
        <v>572802.64375367644</v>
      </c>
      <c r="M91" s="6">
        <v>568110.79629178601</v>
      </c>
      <c r="N91" s="6">
        <v>568110.79629178601</v>
      </c>
      <c r="O91" s="6">
        <v>0</v>
      </c>
      <c r="P91" s="4">
        <v>1</v>
      </c>
      <c r="Q91" s="4">
        <v>1</v>
      </c>
    </row>
    <row r="92" spans="1:17" x14ac:dyDescent="0.35">
      <c r="A92" t="s">
        <v>44</v>
      </c>
      <c r="B92" s="4">
        <v>2017</v>
      </c>
      <c r="C92" s="4">
        <v>0</v>
      </c>
      <c r="D92" s="4">
        <v>2025</v>
      </c>
      <c r="E92" s="5">
        <v>42834</v>
      </c>
      <c r="F92" s="5">
        <v>42866</v>
      </c>
      <c r="G92" t="s">
        <v>36</v>
      </c>
      <c r="H92" t="s">
        <v>28</v>
      </c>
      <c r="I92" t="s">
        <v>39</v>
      </c>
      <c r="J92" s="6">
        <v>1441000</v>
      </c>
      <c r="K92" s="6">
        <v>241000</v>
      </c>
      <c r="L92" s="6">
        <v>701389.54255334544</v>
      </c>
      <c r="M92" s="6">
        <v>195134.55382975555</v>
      </c>
      <c r="N92" s="6">
        <v>19513.455382975557</v>
      </c>
      <c r="O92" s="6">
        <v>175621.09844678</v>
      </c>
      <c r="P92" s="4">
        <v>1</v>
      </c>
      <c r="Q92" s="4">
        <v>0</v>
      </c>
    </row>
    <row r="93" spans="1:17" x14ac:dyDescent="0.35">
      <c r="A93" t="s">
        <v>44</v>
      </c>
      <c r="B93" s="4">
        <v>2017</v>
      </c>
      <c r="C93" s="4">
        <v>1</v>
      </c>
      <c r="D93" s="4">
        <v>2025</v>
      </c>
      <c r="E93" s="5">
        <v>42834</v>
      </c>
      <c r="F93" s="5">
        <v>42866</v>
      </c>
      <c r="G93" t="s">
        <v>36</v>
      </c>
      <c r="H93" t="s">
        <v>28</v>
      </c>
      <c r="I93" t="s">
        <v>39</v>
      </c>
      <c r="J93" s="6">
        <v>1441000</v>
      </c>
      <c r="K93" s="6">
        <v>241000</v>
      </c>
      <c r="L93" s="6">
        <v>701389.54255334544</v>
      </c>
      <c r="M93" s="6">
        <v>336508.99444196554</v>
      </c>
      <c r="N93" s="6">
        <v>100952.69833258966</v>
      </c>
      <c r="O93" s="6">
        <v>235556.29610937589</v>
      </c>
      <c r="P93" s="4">
        <v>1</v>
      </c>
      <c r="Q93" s="4">
        <v>0</v>
      </c>
    </row>
    <row r="94" spans="1:17" x14ac:dyDescent="0.35">
      <c r="A94" t="s">
        <v>44</v>
      </c>
      <c r="B94" s="4">
        <v>2017</v>
      </c>
      <c r="C94" s="4">
        <v>2</v>
      </c>
      <c r="D94" s="4">
        <v>2025</v>
      </c>
      <c r="E94" s="5">
        <v>42834</v>
      </c>
      <c r="F94" s="5">
        <v>42866</v>
      </c>
      <c r="G94" t="s">
        <v>36</v>
      </c>
      <c r="H94" t="s">
        <v>28</v>
      </c>
      <c r="I94" t="s">
        <v>39</v>
      </c>
      <c r="J94" s="6">
        <v>1441000</v>
      </c>
      <c r="K94" s="6">
        <v>241000</v>
      </c>
      <c r="L94" s="6">
        <v>701389.54255334544</v>
      </c>
      <c r="M94" s="6">
        <v>467766.39560998883</v>
      </c>
      <c r="N94" s="6">
        <v>467766.39560998883</v>
      </c>
      <c r="O94" s="6">
        <v>0</v>
      </c>
      <c r="P94" s="4">
        <v>1</v>
      </c>
      <c r="Q94" s="4">
        <v>1</v>
      </c>
    </row>
    <row r="95" spans="1:17" x14ac:dyDescent="0.35">
      <c r="A95" t="s">
        <v>44</v>
      </c>
      <c r="B95" s="4">
        <v>2017</v>
      </c>
      <c r="C95" s="4">
        <v>3</v>
      </c>
      <c r="D95" s="4">
        <v>2025</v>
      </c>
      <c r="E95" s="5">
        <v>42834</v>
      </c>
      <c r="F95" s="5">
        <v>42866</v>
      </c>
      <c r="G95" t="s">
        <v>36</v>
      </c>
      <c r="H95" t="s">
        <v>28</v>
      </c>
      <c r="I95" t="s">
        <v>39</v>
      </c>
      <c r="J95" s="6">
        <v>1441000</v>
      </c>
      <c r="K95" s="6">
        <v>241000</v>
      </c>
      <c r="L95" s="6">
        <v>701389.54255334544</v>
      </c>
      <c r="M95" s="6">
        <v>493925.17779112037</v>
      </c>
      <c r="N95" s="6">
        <v>493925.17779112037</v>
      </c>
      <c r="O95" s="6">
        <v>0</v>
      </c>
      <c r="P95" s="4">
        <v>1</v>
      </c>
      <c r="Q95" s="4">
        <v>1</v>
      </c>
    </row>
    <row r="96" spans="1:17" x14ac:dyDescent="0.35">
      <c r="A96" t="s">
        <v>44</v>
      </c>
      <c r="B96" s="4">
        <v>2017</v>
      </c>
      <c r="C96" s="4">
        <v>4</v>
      </c>
      <c r="D96" s="4">
        <v>2025</v>
      </c>
      <c r="E96" s="5">
        <v>42834</v>
      </c>
      <c r="F96" s="5">
        <v>42866</v>
      </c>
      <c r="G96" t="s">
        <v>36</v>
      </c>
      <c r="H96" t="s">
        <v>28</v>
      </c>
      <c r="I96" t="s">
        <v>39</v>
      </c>
      <c r="J96" s="6">
        <v>1441000</v>
      </c>
      <c r="K96" s="6">
        <v>241000</v>
      </c>
      <c r="L96" s="6">
        <v>701389.54255334544</v>
      </c>
      <c r="M96" s="6">
        <v>595709.02090902405</v>
      </c>
      <c r="N96" s="6">
        <v>595709.02090902405</v>
      </c>
      <c r="O96" s="6">
        <v>0</v>
      </c>
      <c r="P96" s="4">
        <v>1</v>
      </c>
      <c r="Q96" s="4">
        <v>1</v>
      </c>
    </row>
    <row r="97" spans="1:17" x14ac:dyDescent="0.35">
      <c r="A97" t="s">
        <v>44</v>
      </c>
      <c r="B97" s="4">
        <v>2017</v>
      </c>
      <c r="C97" s="4">
        <v>5</v>
      </c>
      <c r="D97" s="4">
        <v>2025</v>
      </c>
      <c r="E97" s="5">
        <v>42834</v>
      </c>
      <c r="F97" s="5">
        <v>42866</v>
      </c>
      <c r="G97" t="s">
        <v>36</v>
      </c>
      <c r="H97" t="s">
        <v>28</v>
      </c>
      <c r="I97" t="s">
        <v>39</v>
      </c>
      <c r="J97" s="6">
        <v>1441000</v>
      </c>
      <c r="K97" s="6">
        <v>241000</v>
      </c>
      <c r="L97" s="6">
        <v>701389.54255334544</v>
      </c>
      <c r="M97" s="6">
        <v>618859.33002992673</v>
      </c>
      <c r="N97" s="6">
        <v>618859.33002992673</v>
      </c>
      <c r="O97" s="6">
        <v>0</v>
      </c>
      <c r="P97" s="4">
        <v>1</v>
      </c>
      <c r="Q97" s="4">
        <v>1</v>
      </c>
    </row>
    <row r="98" spans="1:17" x14ac:dyDescent="0.35">
      <c r="A98" t="s">
        <v>44</v>
      </c>
      <c r="B98" s="4">
        <v>2017</v>
      </c>
      <c r="C98" s="4">
        <v>6</v>
      </c>
      <c r="D98" s="4">
        <v>2025</v>
      </c>
      <c r="E98" s="5">
        <v>42834</v>
      </c>
      <c r="F98" s="5">
        <v>42866</v>
      </c>
      <c r="G98" t="s">
        <v>36</v>
      </c>
      <c r="H98" t="s">
        <v>28</v>
      </c>
      <c r="I98" t="s">
        <v>39</v>
      </c>
      <c r="J98" s="6">
        <v>1441000</v>
      </c>
      <c r="K98" s="6">
        <v>241000</v>
      </c>
      <c r="L98" s="6">
        <v>701389.54255334544</v>
      </c>
      <c r="M98" s="6">
        <v>641091.95001829346</v>
      </c>
      <c r="N98" s="6">
        <v>641091.95001829346</v>
      </c>
      <c r="O98" s="6">
        <v>0</v>
      </c>
      <c r="P98" s="4">
        <v>1</v>
      </c>
      <c r="Q98" s="4">
        <v>1</v>
      </c>
    </row>
    <row r="99" spans="1:17" x14ac:dyDescent="0.35">
      <c r="A99" t="s">
        <v>44</v>
      </c>
      <c r="B99" s="4">
        <v>2017</v>
      </c>
      <c r="C99" s="4">
        <v>7</v>
      </c>
      <c r="D99" s="4">
        <v>2025</v>
      </c>
      <c r="E99" s="5">
        <v>42834</v>
      </c>
      <c r="F99" s="5">
        <v>42866</v>
      </c>
      <c r="G99" t="s">
        <v>36</v>
      </c>
      <c r="H99" t="s">
        <v>28</v>
      </c>
      <c r="I99" t="s">
        <v>39</v>
      </c>
      <c r="J99" s="6">
        <v>1441000</v>
      </c>
      <c r="K99" s="6">
        <v>241000</v>
      </c>
      <c r="L99" s="6">
        <v>701389.54255334544</v>
      </c>
      <c r="M99" s="6">
        <v>669961.98725524498</v>
      </c>
      <c r="N99" s="6">
        <v>669961.98725524498</v>
      </c>
      <c r="O99" s="6">
        <v>0</v>
      </c>
      <c r="P99" s="4">
        <v>1</v>
      </c>
      <c r="Q99" s="4">
        <v>1</v>
      </c>
    </row>
    <row r="100" spans="1:17" x14ac:dyDescent="0.35">
      <c r="A100" t="s">
        <v>44</v>
      </c>
      <c r="B100" s="4">
        <v>2017</v>
      </c>
      <c r="C100" s="4">
        <v>8</v>
      </c>
      <c r="D100" s="4">
        <v>2025</v>
      </c>
      <c r="E100" s="5">
        <v>42834</v>
      </c>
      <c r="F100" s="5">
        <v>42866</v>
      </c>
      <c r="G100" t="s">
        <v>36</v>
      </c>
      <c r="H100" t="s">
        <v>28</v>
      </c>
      <c r="I100" t="s">
        <v>39</v>
      </c>
      <c r="J100" s="6">
        <v>1441000</v>
      </c>
      <c r="K100" s="6">
        <v>241000</v>
      </c>
      <c r="L100" s="6">
        <v>701389.54255334544</v>
      </c>
      <c r="M100" s="6">
        <v>683347.52191647771</v>
      </c>
      <c r="N100" s="6">
        <v>683347.52191647771</v>
      </c>
      <c r="O100" s="6">
        <v>0</v>
      </c>
      <c r="P100" s="4">
        <v>1</v>
      </c>
      <c r="Q100" s="4">
        <v>1</v>
      </c>
    </row>
    <row r="101" spans="1:17" x14ac:dyDescent="0.35">
      <c r="A101" t="s">
        <v>45</v>
      </c>
      <c r="B101" s="4">
        <v>2017</v>
      </c>
      <c r="C101" s="4">
        <v>0</v>
      </c>
      <c r="D101" s="4">
        <v>2025</v>
      </c>
      <c r="E101" s="5">
        <v>42890</v>
      </c>
      <c r="F101" s="5">
        <v>42937</v>
      </c>
      <c r="G101" t="s">
        <v>36</v>
      </c>
      <c r="H101" t="s">
        <v>31</v>
      </c>
      <c r="I101" t="s">
        <v>22</v>
      </c>
      <c r="J101" s="6">
        <v>1308000</v>
      </c>
      <c r="K101" s="6">
        <v>244000</v>
      </c>
      <c r="L101" s="6">
        <v>985999.00448058499</v>
      </c>
      <c r="M101" s="6">
        <v>294040.94959559536</v>
      </c>
      <c r="N101" s="6">
        <v>29404.094959559538</v>
      </c>
      <c r="O101" s="6">
        <v>264636.8546360358</v>
      </c>
      <c r="P101" s="4">
        <v>1</v>
      </c>
      <c r="Q101" s="4">
        <v>0</v>
      </c>
    </row>
    <row r="102" spans="1:17" x14ac:dyDescent="0.35">
      <c r="A102" t="s">
        <v>45</v>
      </c>
      <c r="B102" s="4">
        <v>2017</v>
      </c>
      <c r="C102" s="4">
        <v>1</v>
      </c>
      <c r="D102" s="4">
        <v>2025</v>
      </c>
      <c r="E102" s="5">
        <v>42890</v>
      </c>
      <c r="F102" s="5">
        <v>42937</v>
      </c>
      <c r="G102" t="s">
        <v>36</v>
      </c>
      <c r="H102" t="s">
        <v>31</v>
      </c>
      <c r="I102" t="s">
        <v>22</v>
      </c>
      <c r="J102" s="6">
        <v>1308000</v>
      </c>
      <c r="K102" s="6">
        <v>244000</v>
      </c>
      <c r="L102" s="6">
        <v>985999.00448058499</v>
      </c>
      <c r="M102" s="6">
        <v>492745.63535213569</v>
      </c>
      <c r="N102" s="6">
        <v>147823.6906056407</v>
      </c>
      <c r="O102" s="6">
        <v>344921.94474649499</v>
      </c>
      <c r="P102" s="4">
        <v>1</v>
      </c>
      <c r="Q102" s="4">
        <v>0</v>
      </c>
    </row>
    <row r="103" spans="1:17" x14ac:dyDescent="0.35">
      <c r="A103" t="s">
        <v>45</v>
      </c>
      <c r="B103" s="4">
        <v>2017</v>
      </c>
      <c r="C103" s="4">
        <v>2</v>
      </c>
      <c r="D103" s="4">
        <v>2025</v>
      </c>
      <c r="E103" s="5">
        <v>42890</v>
      </c>
      <c r="F103" s="5">
        <v>42937</v>
      </c>
      <c r="G103" t="s">
        <v>36</v>
      </c>
      <c r="H103" t="s">
        <v>31</v>
      </c>
      <c r="I103" t="s">
        <v>22</v>
      </c>
      <c r="J103" s="6">
        <v>1308000</v>
      </c>
      <c r="K103" s="6">
        <v>244000</v>
      </c>
      <c r="L103" s="6">
        <v>985999.00448058499</v>
      </c>
      <c r="M103" s="6">
        <v>624028.54050400958</v>
      </c>
      <c r="N103" s="6">
        <v>280812.84322680434</v>
      </c>
      <c r="O103" s="6">
        <v>343215.69727720524</v>
      </c>
      <c r="P103" s="4">
        <v>1</v>
      </c>
      <c r="Q103" s="4">
        <v>0</v>
      </c>
    </row>
    <row r="104" spans="1:17" x14ac:dyDescent="0.35">
      <c r="A104" t="s">
        <v>45</v>
      </c>
      <c r="B104" s="4">
        <v>2017</v>
      </c>
      <c r="C104" s="4">
        <v>3</v>
      </c>
      <c r="D104" s="4">
        <v>2025</v>
      </c>
      <c r="E104" s="5">
        <v>42890</v>
      </c>
      <c r="F104" s="5">
        <v>42937</v>
      </c>
      <c r="G104" t="s">
        <v>36</v>
      </c>
      <c r="H104" t="s">
        <v>31</v>
      </c>
      <c r="I104" t="s">
        <v>22</v>
      </c>
      <c r="J104" s="6">
        <v>1308000</v>
      </c>
      <c r="K104" s="6">
        <v>244000</v>
      </c>
      <c r="L104" s="6">
        <v>985999.00448058499</v>
      </c>
      <c r="M104" s="6">
        <v>812079.31893325259</v>
      </c>
      <c r="N104" s="6">
        <v>487247.59135995153</v>
      </c>
      <c r="O104" s="6">
        <v>324831.72757330106</v>
      </c>
      <c r="P104" s="4">
        <v>1</v>
      </c>
      <c r="Q104" s="4">
        <v>0</v>
      </c>
    </row>
    <row r="105" spans="1:17" x14ac:dyDescent="0.35">
      <c r="A105" t="s">
        <v>45</v>
      </c>
      <c r="B105" s="4">
        <v>2017</v>
      </c>
      <c r="C105" s="4">
        <v>4</v>
      </c>
      <c r="D105" s="4">
        <v>2025</v>
      </c>
      <c r="E105" s="5">
        <v>42890</v>
      </c>
      <c r="F105" s="5">
        <v>42937</v>
      </c>
      <c r="G105" t="s">
        <v>36</v>
      </c>
      <c r="H105" t="s">
        <v>31</v>
      </c>
      <c r="I105" t="s">
        <v>22</v>
      </c>
      <c r="J105" s="6">
        <v>1308000</v>
      </c>
      <c r="K105" s="6">
        <v>244000</v>
      </c>
      <c r="L105" s="6">
        <v>985999.00448058499</v>
      </c>
      <c r="M105" s="6">
        <v>812079.31893325259</v>
      </c>
      <c r="N105" s="6">
        <v>812079.31893325259</v>
      </c>
      <c r="O105" s="6">
        <v>0</v>
      </c>
      <c r="P105" s="4">
        <v>1</v>
      </c>
      <c r="Q105" s="4">
        <v>1</v>
      </c>
    </row>
    <row r="106" spans="1:17" x14ac:dyDescent="0.35">
      <c r="A106" t="s">
        <v>45</v>
      </c>
      <c r="B106" s="4">
        <v>2017</v>
      </c>
      <c r="C106" s="4">
        <v>5</v>
      </c>
      <c r="D106" s="4">
        <v>2025</v>
      </c>
      <c r="E106" s="5">
        <v>42890</v>
      </c>
      <c r="F106" s="5">
        <v>42937</v>
      </c>
      <c r="G106" t="s">
        <v>36</v>
      </c>
      <c r="H106" t="s">
        <v>31</v>
      </c>
      <c r="I106" t="s">
        <v>22</v>
      </c>
      <c r="J106" s="6">
        <v>1308000</v>
      </c>
      <c r="K106" s="6">
        <v>244000</v>
      </c>
      <c r="L106" s="6">
        <v>985999.00448058499</v>
      </c>
      <c r="M106" s="6">
        <v>915188.38761881285</v>
      </c>
      <c r="N106" s="6">
        <v>915188.38761881285</v>
      </c>
      <c r="O106" s="6">
        <v>0</v>
      </c>
      <c r="P106" s="4">
        <v>1</v>
      </c>
      <c r="Q106" s="4">
        <v>1</v>
      </c>
    </row>
    <row r="107" spans="1:17" x14ac:dyDescent="0.35">
      <c r="A107" t="s">
        <v>45</v>
      </c>
      <c r="B107" s="4">
        <v>2017</v>
      </c>
      <c r="C107" s="4">
        <v>6</v>
      </c>
      <c r="D107" s="4">
        <v>2025</v>
      </c>
      <c r="E107" s="5">
        <v>42890</v>
      </c>
      <c r="F107" s="5">
        <v>42937</v>
      </c>
      <c r="G107" t="s">
        <v>36</v>
      </c>
      <c r="H107" t="s">
        <v>31</v>
      </c>
      <c r="I107" t="s">
        <v>22</v>
      </c>
      <c r="J107" s="6">
        <v>1308000</v>
      </c>
      <c r="K107" s="6">
        <v>244000</v>
      </c>
      <c r="L107" s="6">
        <v>985999.00448058499</v>
      </c>
      <c r="M107" s="6">
        <v>915188.38761881285</v>
      </c>
      <c r="N107" s="6">
        <v>915188.38761881285</v>
      </c>
      <c r="O107" s="6">
        <v>0</v>
      </c>
      <c r="P107" s="4">
        <v>1</v>
      </c>
      <c r="Q107" s="4">
        <v>1</v>
      </c>
    </row>
    <row r="108" spans="1:17" x14ac:dyDescent="0.35">
      <c r="A108" t="s">
        <v>45</v>
      </c>
      <c r="B108" s="4">
        <v>2017</v>
      </c>
      <c r="C108" s="4">
        <v>7</v>
      </c>
      <c r="D108" s="4">
        <v>2025</v>
      </c>
      <c r="E108" s="5">
        <v>42890</v>
      </c>
      <c r="F108" s="5">
        <v>42937</v>
      </c>
      <c r="G108" t="s">
        <v>36</v>
      </c>
      <c r="H108" t="s">
        <v>31</v>
      </c>
      <c r="I108" t="s">
        <v>22</v>
      </c>
      <c r="J108" s="6">
        <v>1308000</v>
      </c>
      <c r="K108" s="6">
        <v>244000</v>
      </c>
      <c r="L108" s="6">
        <v>985999.00448058499</v>
      </c>
      <c r="M108" s="6">
        <v>980930.39724360674</v>
      </c>
      <c r="N108" s="6">
        <v>980930.39724360674</v>
      </c>
      <c r="O108" s="6">
        <v>0</v>
      </c>
      <c r="P108" s="4">
        <v>1</v>
      </c>
      <c r="Q108" s="4">
        <v>1</v>
      </c>
    </row>
    <row r="109" spans="1:17" x14ac:dyDescent="0.35">
      <c r="A109" t="s">
        <v>45</v>
      </c>
      <c r="B109" s="4">
        <v>2017</v>
      </c>
      <c r="C109" s="4">
        <v>8</v>
      </c>
      <c r="D109" s="4">
        <v>2025</v>
      </c>
      <c r="E109" s="5">
        <v>42890</v>
      </c>
      <c r="F109" s="5">
        <v>42937</v>
      </c>
      <c r="G109" t="s">
        <v>36</v>
      </c>
      <c r="H109" t="s">
        <v>31</v>
      </c>
      <c r="I109" t="s">
        <v>22</v>
      </c>
      <c r="J109" s="6">
        <v>1308000</v>
      </c>
      <c r="K109" s="6">
        <v>244000</v>
      </c>
      <c r="L109" s="6">
        <v>985999.00448058499</v>
      </c>
      <c r="M109" s="6">
        <v>980930.39724360674</v>
      </c>
      <c r="N109" s="6">
        <v>980930.39724360674</v>
      </c>
      <c r="O109" s="6">
        <v>0</v>
      </c>
      <c r="P109" s="4">
        <v>1</v>
      </c>
      <c r="Q109" s="4">
        <v>1</v>
      </c>
    </row>
    <row r="110" spans="1:17" x14ac:dyDescent="0.35">
      <c r="A110" t="s">
        <v>46</v>
      </c>
      <c r="B110" s="4">
        <v>2017</v>
      </c>
      <c r="C110" s="4">
        <v>0</v>
      </c>
      <c r="D110" s="4">
        <v>2025</v>
      </c>
      <c r="E110" s="5">
        <v>42801</v>
      </c>
      <c r="F110" s="5">
        <v>42905</v>
      </c>
      <c r="G110" t="s">
        <v>27</v>
      </c>
      <c r="H110" t="s">
        <v>47</v>
      </c>
      <c r="I110" t="s">
        <v>39</v>
      </c>
      <c r="J110" s="6">
        <v>2154000</v>
      </c>
      <c r="K110" s="6">
        <v>11000</v>
      </c>
      <c r="L110" s="6">
        <v>954225.71607848129</v>
      </c>
      <c r="M110" s="6">
        <v>304567.70001003967</v>
      </c>
      <c r="N110" s="6">
        <v>30456.77000100397</v>
      </c>
      <c r="O110" s="6">
        <v>274110.93000903568</v>
      </c>
      <c r="P110" s="4">
        <v>1</v>
      </c>
      <c r="Q110" s="4">
        <v>0</v>
      </c>
    </row>
    <row r="111" spans="1:17" x14ac:dyDescent="0.35">
      <c r="A111" t="s">
        <v>46</v>
      </c>
      <c r="B111" s="4">
        <v>2017</v>
      </c>
      <c r="C111" s="4">
        <v>1</v>
      </c>
      <c r="D111" s="4">
        <v>2025</v>
      </c>
      <c r="E111" s="5">
        <v>42801</v>
      </c>
      <c r="F111" s="5">
        <v>42905</v>
      </c>
      <c r="G111" t="s">
        <v>27</v>
      </c>
      <c r="H111" t="s">
        <v>47</v>
      </c>
      <c r="I111" t="s">
        <v>39</v>
      </c>
      <c r="J111" s="6">
        <v>2154000</v>
      </c>
      <c r="K111" s="6">
        <v>11000</v>
      </c>
      <c r="L111" s="6">
        <v>954225.71607848129</v>
      </c>
      <c r="M111" s="6">
        <v>496387.17829520424</v>
      </c>
      <c r="N111" s="6">
        <v>148916.15348856128</v>
      </c>
      <c r="O111" s="6">
        <v>347471.02480664296</v>
      </c>
      <c r="P111" s="4">
        <v>1</v>
      </c>
      <c r="Q111" s="4">
        <v>0</v>
      </c>
    </row>
    <row r="112" spans="1:17" x14ac:dyDescent="0.35">
      <c r="A112" t="s">
        <v>46</v>
      </c>
      <c r="B112" s="4">
        <v>2017</v>
      </c>
      <c r="C112" s="4">
        <v>2</v>
      </c>
      <c r="D112" s="4">
        <v>2025</v>
      </c>
      <c r="E112" s="5">
        <v>42801</v>
      </c>
      <c r="F112" s="5">
        <v>42905</v>
      </c>
      <c r="G112" t="s">
        <v>27</v>
      </c>
      <c r="H112" t="s">
        <v>47</v>
      </c>
      <c r="I112" t="s">
        <v>39</v>
      </c>
      <c r="J112" s="6">
        <v>2154000</v>
      </c>
      <c r="K112" s="6">
        <v>11000</v>
      </c>
      <c r="L112" s="6">
        <v>954225.71607848129</v>
      </c>
      <c r="M112" s="6">
        <v>647880.06942657311</v>
      </c>
      <c r="N112" s="6">
        <v>291546.03124195791</v>
      </c>
      <c r="O112" s="6">
        <v>356334.0381846152</v>
      </c>
      <c r="P112" s="4">
        <v>1</v>
      </c>
      <c r="Q112" s="4">
        <v>0</v>
      </c>
    </row>
    <row r="113" spans="1:17" x14ac:dyDescent="0.35">
      <c r="A113" t="s">
        <v>46</v>
      </c>
      <c r="B113" s="4">
        <v>2017</v>
      </c>
      <c r="C113" s="4">
        <v>3</v>
      </c>
      <c r="D113" s="4">
        <v>2025</v>
      </c>
      <c r="E113" s="5">
        <v>42801</v>
      </c>
      <c r="F113" s="5">
        <v>42905</v>
      </c>
      <c r="G113" t="s">
        <v>27</v>
      </c>
      <c r="H113" t="s">
        <v>47</v>
      </c>
      <c r="I113" t="s">
        <v>39</v>
      </c>
      <c r="J113" s="6">
        <v>2154000</v>
      </c>
      <c r="K113" s="6">
        <v>11000</v>
      </c>
      <c r="L113" s="6">
        <v>954225.71607848129</v>
      </c>
      <c r="M113" s="6">
        <v>721447.58236956969</v>
      </c>
      <c r="N113" s="6">
        <v>432868.5494217418</v>
      </c>
      <c r="O113" s="6">
        <v>288579.03294782789</v>
      </c>
      <c r="P113" s="4">
        <v>1</v>
      </c>
      <c r="Q113" s="4">
        <v>0</v>
      </c>
    </row>
    <row r="114" spans="1:17" x14ac:dyDescent="0.35">
      <c r="A114" t="s">
        <v>46</v>
      </c>
      <c r="B114" s="4">
        <v>2017</v>
      </c>
      <c r="C114" s="4">
        <v>4</v>
      </c>
      <c r="D114" s="4">
        <v>2025</v>
      </c>
      <c r="E114" s="5">
        <v>42801</v>
      </c>
      <c r="F114" s="5">
        <v>42905</v>
      </c>
      <c r="G114" t="s">
        <v>27</v>
      </c>
      <c r="H114" t="s">
        <v>47</v>
      </c>
      <c r="I114" t="s">
        <v>39</v>
      </c>
      <c r="J114" s="6">
        <v>2154000</v>
      </c>
      <c r="K114" s="6">
        <v>11000</v>
      </c>
      <c r="L114" s="6">
        <v>954225.71607848129</v>
      </c>
      <c r="M114" s="6">
        <v>758724.84244519367</v>
      </c>
      <c r="N114" s="6">
        <v>546281.88656053948</v>
      </c>
      <c r="O114" s="6">
        <v>212442.95588465419</v>
      </c>
      <c r="P114" s="4">
        <v>1</v>
      </c>
      <c r="Q114" s="4">
        <v>0</v>
      </c>
    </row>
    <row r="115" spans="1:17" x14ac:dyDescent="0.35">
      <c r="A115" t="s">
        <v>46</v>
      </c>
      <c r="B115" s="4">
        <v>2017</v>
      </c>
      <c r="C115" s="4">
        <v>5</v>
      </c>
      <c r="D115" s="4">
        <v>2025</v>
      </c>
      <c r="E115" s="5">
        <v>42801</v>
      </c>
      <c r="F115" s="5">
        <v>42905</v>
      </c>
      <c r="G115" t="s">
        <v>27</v>
      </c>
      <c r="H115" t="s">
        <v>47</v>
      </c>
      <c r="I115" t="s">
        <v>39</v>
      </c>
      <c r="J115" s="6">
        <v>2154000</v>
      </c>
      <c r="K115" s="6">
        <v>11000</v>
      </c>
      <c r="L115" s="6">
        <v>954225.71607848129</v>
      </c>
      <c r="M115" s="6">
        <v>850334.66634735081</v>
      </c>
      <c r="N115" s="6">
        <v>850334.66634735081</v>
      </c>
      <c r="O115" s="6">
        <v>0</v>
      </c>
      <c r="P115" s="4">
        <v>1</v>
      </c>
      <c r="Q115" s="4">
        <v>1</v>
      </c>
    </row>
    <row r="116" spans="1:17" x14ac:dyDescent="0.35">
      <c r="A116" t="s">
        <v>46</v>
      </c>
      <c r="B116" s="4">
        <v>2017</v>
      </c>
      <c r="C116" s="4">
        <v>6</v>
      </c>
      <c r="D116" s="4">
        <v>2025</v>
      </c>
      <c r="E116" s="5">
        <v>42801</v>
      </c>
      <c r="F116" s="5">
        <v>42905</v>
      </c>
      <c r="G116" t="s">
        <v>27</v>
      </c>
      <c r="H116" t="s">
        <v>47</v>
      </c>
      <c r="I116" t="s">
        <v>39</v>
      </c>
      <c r="J116" s="6">
        <v>2154000</v>
      </c>
      <c r="K116" s="6">
        <v>11000</v>
      </c>
      <c r="L116" s="6">
        <v>954225.71607848129</v>
      </c>
      <c r="M116" s="6">
        <v>881524.76683847141</v>
      </c>
      <c r="N116" s="6">
        <v>881524.76683847141</v>
      </c>
      <c r="O116" s="6">
        <v>0</v>
      </c>
      <c r="P116" s="4">
        <v>1</v>
      </c>
      <c r="Q116" s="4">
        <v>1</v>
      </c>
    </row>
    <row r="117" spans="1:17" x14ac:dyDescent="0.35">
      <c r="A117" t="s">
        <v>46</v>
      </c>
      <c r="B117" s="4">
        <v>2017</v>
      </c>
      <c r="C117" s="4">
        <v>7</v>
      </c>
      <c r="D117" s="4">
        <v>2025</v>
      </c>
      <c r="E117" s="5">
        <v>42801</v>
      </c>
      <c r="F117" s="5">
        <v>42905</v>
      </c>
      <c r="G117" t="s">
        <v>27</v>
      </c>
      <c r="H117" t="s">
        <v>47</v>
      </c>
      <c r="I117" t="s">
        <v>39</v>
      </c>
      <c r="J117" s="6">
        <v>2154000</v>
      </c>
      <c r="K117" s="6">
        <v>11000</v>
      </c>
      <c r="L117" s="6">
        <v>954225.71607848129</v>
      </c>
      <c r="M117" s="6">
        <v>886945.00830897177</v>
      </c>
      <c r="N117" s="6">
        <v>886945.00830897177</v>
      </c>
      <c r="O117" s="6">
        <v>0</v>
      </c>
      <c r="P117" s="4">
        <v>1</v>
      </c>
      <c r="Q117" s="4">
        <v>1</v>
      </c>
    </row>
    <row r="118" spans="1:17" x14ac:dyDescent="0.35">
      <c r="A118" t="s">
        <v>46</v>
      </c>
      <c r="B118" s="4">
        <v>2017</v>
      </c>
      <c r="C118" s="4">
        <v>8</v>
      </c>
      <c r="D118" s="4">
        <v>2025</v>
      </c>
      <c r="E118" s="5">
        <v>42801</v>
      </c>
      <c r="F118" s="5">
        <v>42905</v>
      </c>
      <c r="G118" t="s">
        <v>27</v>
      </c>
      <c r="H118" t="s">
        <v>47</v>
      </c>
      <c r="I118" t="s">
        <v>39</v>
      </c>
      <c r="J118" s="6">
        <v>2154000</v>
      </c>
      <c r="K118" s="6">
        <v>11000</v>
      </c>
      <c r="L118" s="6">
        <v>954225.71607848129</v>
      </c>
      <c r="M118" s="6">
        <v>921438.56247950636</v>
      </c>
      <c r="N118" s="6">
        <v>921438.56247950636</v>
      </c>
      <c r="O118" s="6">
        <v>0</v>
      </c>
      <c r="P118" s="4">
        <v>1</v>
      </c>
      <c r="Q118" s="4">
        <v>1</v>
      </c>
    </row>
    <row r="119" spans="1:17" x14ac:dyDescent="0.35">
      <c r="A119" t="s">
        <v>48</v>
      </c>
      <c r="B119" s="4">
        <v>2017</v>
      </c>
      <c r="C119" s="4">
        <v>0</v>
      </c>
      <c r="D119" s="4">
        <v>2025</v>
      </c>
      <c r="E119" s="5">
        <v>42743</v>
      </c>
      <c r="F119" s="5">
        <v>42793</v>
      </c>
      <c r="G119" t="s">
        <v>24</v>
      </c>
      <c r="H119" t="s">
        <v>34</v>
      </c>
      <c r="I119" t="s">
        <v>29</v>
      </c>
      <c r="J119" s="6">
        <v>1657000</v>
      </c>
      <c r="K119" s="6">
        <v>95000</v>
      </c>
      <c r="L119" s="6">
        <v>893767.40550890623</v>
      </c>
      <c r="M119" s="6">
        <v>258434.53260741069</v>
      </c>
      <c r="N119" s="6">
        <v>25843.453260741069</v>
      </c>
      <c r="O119" s="6">
        <v>232591.07934666961</v>
      </c>
      <c r="P119" s="4">
        <v>1</v>
      </c>
      <c r="Q119" s="4">
        <v>0</v>
      </c>
    </row>
    <row r="120" spans="1:17" x14ac:dyDescent="0.35">
      <c r="A120" t="s">
        <v>48</v>
      </c>
      <c r="B120" s="4">
        <v>2017</v>
      </c>
      <c r="C120" s="4">
        <v>1</v>
      </c>
      <c r="D120" s="4">
        <v>2025</v>
      </c>
      <c r="E120" s="5">
        <v>42743</v>
      </c>
      <c r="F120" s="5">
        <v>42793</v>
      </c>
      <c r="G120" t="s">
        <v>24</v>
      </c>
      <c r="H120" t="s">
        <v>34</v>
      </c>
      <c r="I120" t="s">
        <v>29</v>
      </c>
      <c r="J120" s="6">
        <v>1657000</v>
      </c>
      <c r="K120" s="6">
        <v>95000</v>
      </c>
      <c r="L120" s="6">
        <v>893767.40550890623</v>
      </c>
      <c r="M120" s="6">
        <v>443328.67933122331</v>
      </c>
      <c r="N120" s="6">
        <v>132998.60379936697</v>
      </c>
      <c r="O120" s="6">
        <v>310330.07553185633</v>
      </c>
      <c r="P120" s="4">
        <v>1</v>
      </c>
      <c r="Q120" s="4">
        <v>0</v>
      </c>
    </row>
    <row r="121" spans="1:17" x14ac:dyDescent="0.35">
      <c r="A121" t="s">
        <v>48</v>
      </c>
      <c r="B121" s="4">
        <v>2017</v>
      </c>
      <c r="C121" s="4">
        <v>2</v>
      </c>
      <c r="D121" s="4">
        <v>2025</v>
      </c>
      <c r="E121" s="5">
        <v>42743</v>
      </c>
      <c r="F121" s="5">
        <v>42793</v>
      </c>
      <c r="G121" t="s">
        <v>24</v>
      </c>
      <c r="H121" t="s">
        <v>34</v>
      </c>
      <c r="I121" t="s">
        <v>29</v>
      </c>
      <c r="J121" s="6">
        <v>1657000</v>
      </c>
      <c r="K121" s="6">
        <v>95000</v>
      </c>
      <c r="L121" s="6">
        <v>893767.40550890623</v>
      </c>
      <c r="M121" s="6">
        <v>590307.169954126</v>
      </c>
      <c r="N121" s="6">
        <v>265638.2264793567</v>
      </c>
      <c r="O121" s="6">
        <v>324668.9434747693</v>
      </c>
      <c r="P121" s="4">
        <v>1</v>
      </c>
      <c r="Q121" s="4">
        <v>0</v>
      </c>
    </row>
    <row r="122" spans="1:17" x14ac:dyDescent="0.35">
      <c r="A122" t="s">
        <v>48</v>
      </c>
      <c r="B122" s="4">
        <v>2017</v>
      </c>
      <c r="C122" s="4">
        <v>3</v>
      </c>
      <c r="D122" s="4">
        <v>2025</v>
      </c>
      <c r="E122" s="5">
        <v>42743</v>
      </c>
      <c r="F122" s="5">
        <v>42793</v>
      </c>
      <c r="G122" t="s">
        <v>24</v>
      </c>
      <c r="H122" t="s">
        <v>34</v>
      </c>
      <c r="I122" t="s">
        <v>29</v>
      </c>
      <c r="J122" s="6">
        <v>1657000</v>
      </c>
      <c r="K122" s="6">
        <v>95000</v>
      </c>
      <c r="L122" s="6">
        <v>893767.40550890623</v>
      </c>
      <c r="M122" s="6">
        <v>625531.17054752412</v>
      </c>
      <c r="N122" s="6">
        <v>375318.70232851448</v>
      </c>
      <c r="O122" s="6">
        <v>250212.46821900964</v>
      </c>
      <c r="P122" s="4">
        <v>1</v>
      </c>
      <c r="Q122" s="4">
        <v>0</v>
      </c>
    </row>
    <row r="123" spans="1:17" x14ac:dyDescent="0.35">
      <c r="A123" t="s">
        <v>48</v>
      </c>
      <c r="B123" s="4">
        <v>2017</v>
      </c>
      <c r="C123" s="4">
        <v>4</v>
      </c>
      <c r="D123" s="4">
        <v>2025</v>
      </c>
      <c r="E123" s="5">
        <v>42743</v>
      </c>
      <c r="F123" s="5">
        <v>42793</v>
      </c>
      <c r="G123" t="s">
        <v>24</v>
      </c>
      <c r="H123" t="s">
        <v>34</v>
      </c>
      <c r="I123" t="s">
        <v>29</v>
      </c>
      <c r="J123" s="6">
        <v>1657000</v>
      </c>
      <c r="K123" s="6">
        <v>95000</v>
      </c>
      <c r="L123" s="6">
        <v>893767.40550890623</v>
      </c>
      <c r="M123" s="6">
        <v>744696.01864650194</v>
      </c>
      <c r="N123" s="6">
        <v>536181.13342548138</v>
      </c>
      <c r="O123" s="6">
        <v>208514.88522102055</v>
      </c>
      <c r="P123" s="4">
        <v>1</v>
      </c>
      <c r="Q123" s="4">
        <v>0</v>
      </c>
    </row>
    <row r="124" spans="1:17" x14ac:dyDescent="0.35">
      <c r="A124" t="s">
        <v>48</v>
      </c>
      <c r="B124" s="4">
        <v>2017</v>
      </c>
      <c r="C124" s="4">
        <v>5</v>
      </c>
      <c r="D124" s="4">
        <v>2025</v>
      </c>
      <c r="E124" s="5">
        <v>42743</v>
      </c>
      <c r="F124" s="5">
        <v>42793</v>
      </c>
      <c r="G124" t="s">
        <v>24</v>
      </c>
      <c r="H124" t="s">
        <v>34</v>
      </c>
      <c r="I124" t="s">
        <v>29</v>
      </c>
      <c r="J124" s="6">
        <v>1657000</v>
      </c>
      <c r="K124" s="6">
        <v>95000</v>
      </c>
      <c r="L124" s="6">
        <v>893767.40550890623</v>
      </c>
      <c r="M124" s="6">
        <v>825853.56683985388</v>
      </c>
      <c r="N124" s="6">
        <v>677199.9248086802</v>
      </c>
      <c r="O124" s="6">
        <v>148653.64203117369</v>
      </c>
      <c r="P124" s="4">
        <v>1</v>
      </c>
      <c r="Q124" s="4">
        <v>0</v>
      </c>
    </row>
    <row r="125" spans="1:17" x14ac:dyDescent="0.35">
      <c r="A125" t="s">
        <v>48</v>
      </c>
      <c r="B125" s="4">
        <v>2017</v>
      </c>
      <c r="C125" s="4">
        <v>6</v>
      </c>
      <c r="D125" s="4">
        <v>2025</v>
      </c>
      <c r="E125" s="5">
        <v>42743</v>
      </c>
      <c r="F125" s="5">
        <v>42793</v>
      </c>
      <c r="G125" t="s">
        <v>24</v>
      </c>
      <c r="H125" t="s">
        <v>34</v>
      </c>
      <c r="I125" t="s">
        <v>29</v>
      </c>
      <c r="J125" s="6">
        <v>1657000</v>
      </c>
      <c r="K125" s="6">
        <v>95000</v>
      </c>
      <c r="L125" s="6">
        <v>893767.40550890623</v>
      </c>
      <c r="M125" s="6">
        <v>876567.0174789438</v>
      </c>
      <c r="N125" s="6">
        <v>788910.3157310494</v>
      </c>
      <c r="O125" s="6">
        <v>87656.701747894404</v>
      </c>
      <c r="P125" s="4">
        <v>1</v>
      </c>
      <c r="Q125" s="4">
        <v>0</v>
      </c>
    </row>
    <row r="126" spans="1:17" x14ac:dyDescent="0.35">
      <c r="A126" t="s">
        <v>48</v>
      </c>
      <c r="B126" s="4">
        <v>2017</v>
      </c>
      <c r="C126" s="4">
        <v>7</v>
      </c>
      <c r="D126" s="4">
        <v>2025</v>
      </c>
      <c r="E126" s="5">
        <v>42743</v>
      </c>
      <c r="F126" s="5">
        <v>42793</v>
      </c>
      <c r="G126" t="s">
        <v>24</v>
      </c>
      <c r="H126" t="s">
        <v>34</v>
      </c>
      <c r="I126" t="s">
        <v>29</v>
      </c>
      <c r="J126" s="6">
        <v>1657000</v>
      </c>
      <c r="K126" s="6">
        <v>95000</v>
      </c>
      <c r="L126" s="6">
        <v>893767.40550890623</v>
      </c>
      <c r="M126" s="6">
        <v>876567.0174789438</v>
      </c>
      <c r="N126" s="6">
        <v>876567.0174789438</v>
      </c>
      <c r="O126" s="6">
        <v>0</v>
      </c>
      <c r="P126" s="4">
        <v>1</v>
      </c>
      <c r="Q126" s="4">
        <v>1</v>
      </c>
    </row>
    <row r="127" spans="1:17" x14ac:dyDescent="0.35">
      <c r="A127" t="s">
        <v>48</v>
      </c>
      <c r="B127" s="4">
        <v>2017</v>
      </c>
      <c r="C127" s="4">
        <v>8</v>
      </c>
      <c r="D127" s="4">
        <v>2025</v>
      </c>
      <c r="E127" s="5">
        <v>42743</v>
      </c>
      <c r="F127" s="5">
        <v>42793</v>
      </c>
      <c r="G127" t="s">
        <v>24</v>
      </c>
      <c r="H127" t="s">
        <v>34</v>
      </c>
      <c r="I127" t="s">
        <v>29</v>
      </c>
      <c r="J127" s="6">
        <v>1657000</v>
      </c>
      <c r="K127" s="6">
        <v>95000</v>
      </c>
      <c r="L127" s="6">
        <v>893767.40550890623</v>
      </c>
      <c r="M127" s="6">
        <v>893767.40550890623</v>
      </c>
      <c r="N127" s="6">
        <v>893767.40550890623</v>
      </c>
      <c r="O127" s="6">
        <v>0</v>
      </c>
      <c r="P127" s="4">
        <v>1</v>
      </c>
      <c r="Q127" s="4">
        <v>1</v>
      </c>
    </row>
    <row r="128" spans="1:17" x14ac:dyDescent="0.35">
      <c r="A128" t="s">
        <v>49</v>
      </c>
      <c r="B128" s="4">
        <v>2018</v>
      </c>
      <c r="C128" s="4">
        <v>0</v>
      </c>
      <c r="D128" s="4">
        <v>2025</v>
      </c>
      <c r="E128" s="5">
        <v>43177</v>
      </c>
      <c r="F128" s="5">
        <v>43269</v>
      </c>
      <c r="G128" t="s">
        <v>20</v>
      </c>
      <c r="H128" t="s">
        <v>34</v>
      </c>
      <c r="I128" t="s">
        <v>37</v>
      </c>
      <c r="J128" s="6">
        <v>3078000</v>
      </c>
      <c r="K128" s="6">
        <v>7000</v>
      </c>
      <c r="L128" s="6">
        <v>1399608.1486120149</v>
      </c>
      <c r="M128" s="6">
        <v>447862.47660767124</v>
      </c>
      <c r="N128" s="6">
        <v>44786.247660767127</v>
      </c>
      <c r="O128" s="6">
        <v>403076.22894690413</v>
      </c>
      <c r="P128" s="4">
        <v>1</v>
      </c>
      <c r="Q128" s="4">
        <v>0</v>
      </c>
    </row>
    <row r="129" spans="1:17" x14ac:dyDescent="0.35">
      <c r="A129" t="s">
        <v>49</v>
      </c>
      <c r="B129" s="4">
        <v>2018</v>
      </c>
      <c r="C129" s="4">
        <v>1</v>
      </c>
      <c r="D129" s="4">
        <v>2025</v>
      </c>
      <c r="E129" s="5">
        <v>43177</v>
      </c>
      <c r="F129" s="5">
        <v>43269</v>
      </c>
      <c r="G129" t="s">
        <v>20</v>
      </c>
      <c r="H129" t="s">
        <v>34</v>
      </c>
      <c r="I129" t="s">
        <v>37</v>
      </c>
      <c r="J129" s="6">
        <v>3078000</v>
      </c>
      <c r="K129" s="6">
        <v>7000</v>
      </c>
      <c r="L129" s="6">
        <v>1399608.1486120149</v>
      </c>
      <c r="M129" s="6">
        <v>681482.84766614111</v>
      </c>
      <c r="N129" s="6">
        <v>204444.85429984232</v>
      </c>
      <c r="O129" s="6">
        <v>477037.99336629879</v>
      </c>
      <c r="P129" s="4">
        <v>1</v>
      </c>
      <c r="Q129" s="4">
        <v>0</v>
      </c>
    </row>
    <row r="130" spans="1:17" x14ac:dyDescent="0.35">
      <c r="A130" t="s">
        <v>49</v>
      </c>
      <c r="B130" s="4">
        <v>2018</v>
      </c>
      <c r="C130" s="4">
        <v>2</v>
      </c>
      <c r="D130" s="4">
        <v>2025</v>
      </c>
      <c r="E130" s="5">
        <v>43177</v>
      </c>
      <c r="F130" s="5">
        <v>43269</v>
      </c>
      <c r="G130" t="s">
        <v>20</v>
      </c>
      <c r="H130" t="s">
        <v>34</v>
      </c>
      <c r="I130" t="s">
        <v>37</v>
      </c>
      <c r="J130" s="6">
        <v>3078000</v>
      </c>
      <c r="K130" s="6">
        <v>7000</v>
      </c>
      <c r="L130" s="6">
        <v>1399608.1486120149</v>
      </c>
      <c r="M130" s="6">
        <v>909096.16085890867</v>
      </c>
      <c r="N130" s="6">
        <v>409093.27238650894</v>
      </c>
      <c r="O130" s="6">
        <v>500002.88847239973</v>
      </c>
      <c r="P130" s="4">
        <v>1</v>
      </c>
      <c r="Q130" s="4">
        <v>0</v>
      </c>
    </row>
    <row r="131" spans="1:17" x14ac:dyDescent="0.35">
      <c r="A131" t="s">
        <v>49</v>
      </c>
      <c r="B131" s="4">
        <v>2018</v>
      </c>
      <c r="C131" s="4">
        <v>3</v>
      </c>
      <c r="D131" s="4">
        <v>2025</v>
      </c>
      <c r="E131" s="5">
        <v>43177</v>
      </c>
      <c r="F131" s="5">
        <v>43269</v>
      </c>
      <c r="G131" t="s">
        <v>20</v>
      </c>
      <c r="H131" t="s">
        <v>34</v>
      </c>
      <c r="I131" t="s">
        <v>37</v>
      </c>
      <c r="J131" s="6">
        <v>3078000</v>
      </c>
      <c r="K131" s="6">
        <v>7000</v>
      </c>
      <c r="L131" s="6">
        <v>1399608.1486120149</v>
      </c>
      <c r="M131" s="6">
        <v>1127074.3657370303</v>
      </c>
      <c r="N131" s="6">
        <v>676244.6194422181</v>
      </c>
      <c r="O131" s="6">
        <v>450829.74629481218</v>
      </c>
      <c r="P131" s="4">
        <v>1</v>
      </c>
      <c r="Q131" s="4">
        <v>0</v>
      </c>
    </row>
    <row r="132" spans="1:17" x14ac:dyDescent="0.35">
      <c r="A132" t="s">
        <v>49</v>
      </c>
      <c r="B132" s="4">
        <v>2018</v>
      </c>
      <c r="C132" s="4">
        <v>4</v>
      </c>
      <c r="D132" s="4">
        <v>2025</v>
      </c>
      <c r="E132" s="5">
        <v>43177</v>
      </c>
      <c r="F132" s="5">
        <v>43269</v>
      </c>
      <c r="G132" t="s">
        <v>20</v>
      </c>
      <c r="H132" t="s">
        <v>34</v>
      </c>
      <c r="I132" t="s">
        <v>37</v>
      </c>
      <c r="J132" s="6">
        <v>3078000</v>
      </c>
      <c r="K132" s="6">
        <v>7000</v>
      </c>
      <c r="L132" s="6">
        <v>1399608.1486120149</v>
      </c>
      <c r="M132" s="6">
        <v>1182575.7076335636</v>
      </c>
      <c r="N132" s="6">
        <v>1182575.7076335636</v>
      </c>
      <c r="O132" s="6">
        <v>0</v>
      </c>
      <c r="P132" s="4">
        <v>1</v>
      </c>
      <c r="Q132" s="4">
        <v>1</v>
      </c>
    </row>
    <row r="133" spans="1:17" x14ac:dyDescent="0.35">
      <c r="A133" t="s">
        <v>49</v>
      </c>
      <c r="B133" s="4">
        <v>2018</v>
      </c>
      <c r="C133" s="4">
        <v>5</v>
      </c>
      <c r="D133" s="4">
        <v>2025</v>
      </c>
      <c r="E133" s="5">
        <v>43177</v>
      </c>
      <c r="F133" s="5">
        <v>43269</v>
      </c>
      <c r="G133" t="s">
        <v>20</v>
      </c>
      <c r="H133" t="s">
        <v>34</v>
      </c>
      <c r="I133" t="s">
        <v>37</v>
      </c>
      <c r="J133" s="6">
        <v>3078000</v>
      </c>
      <c r="K133" s="6">
        <v>7000</v>
      </c>
      <c r="L133" s="6">
        <v>1399608.1486120149</v>
      </c>
      <c r="M133" s="6">
        <v>1206207.0654916291</v>
      </c>
      <c r="N133" s="6">
        <v>1206207.0654916291</v>
      </c>
      <c r="O133" s="6">
        <v>0</v>
      </c>
      <c r="P133" s="4">
        <v>1</v>
      </c>
      <c r="Q133" s="4">
        <v>1</v>
      </c>
    </row>
    <row r="134" spans="1:17" x14ac:dyDescent="0.35">
      <c r="A134" t="s">
        <v>49</v>
      </c>
      <c r="B134" s="4">
        <v>2018</v>
      </c>
      <c r="C134" s="4">
        <v>6</v>
      </c>
      <c r="D134" s="4">
        <v>2025</v>
      </c>
      <c r="E134" s="5">
        <v>43177</v>
      </c>
      <c r="F134" s="5">
        <v>43269</v>
      </c>
      <c r="G134" t="s">
        <v>20</v>
      </c>
      <c r="H134" t="s">
        <v>34</v>
      </c>
      <c r="I134" t="s">
        <v>37</v>
      </c>
      <c r="J134" s="6">
        <v>3078000</v>
      </c>
      <c r="K134" s="6">
        <v>7000</v>
      </c>
      <c r="L134" s="6">
        <v>1399608.1486120149</v>
      </c>
      <c r="M134" s="6">
        <v>1253355.0243987516</v>
      </c>
      <c r="N134" s="6">
        <v>1253355.0243987516</v>
      </c>
      <c r="O134" s="6">
        <v>0</v>
      </c>
      <c r="P134" s="4">
        <v>1</v>
      </c>
      <c r="Q134" s="4">
        <v>1</v>
      </c>
    </row>
    <row r="135" spans="1:17" x14ac:dyDescent="0.35">
      <c r="A135" t="s">
        <v>49</v>
      </c>
      <c r="B135" s="4">
        <v>2018</v>
      </c>
      <c r="C135" s="4">
        <v>7</v>
      </c>
      <c r="D135" s="4">
        <v>2025</v>
      </c>
      <c r="E135" s="5">
        <v>43177</v>
      </c>
      <c r="F135" s="5">
        <v>43269</v>
      </c>
      <c r="G135" t="s">
        <v>20</v>
      </c>
      <c r="H135" t="s">
        <v>34</v>
      </c>
      <c r="I135" t="s">
        <v>37</v>
      </c>
      <c r="J135" s="6">
        <v>3078000</v>
      </c>
      <c r="K135" s="6">
        <v>7000</v>
      </c>
      <c r="L135" s="6">
        <v>1399608.1486120149</v>
      </c>
      <c r="M135" s="6">
        <v>1369204.0487623762</v>
      </c>
      <c r="N135" s="6">
        <v>1369204.0487623762</v>
      </c>
      <c r="O135" s="6">
        <v>0</v>
      </c>
      <c r="P135" s="4">
        <v>1</v>
      </c>
      <c r="Q135" s="4">
        <v>1</v>
      </c>
    </row>
    <row r="136" spans="1:17" x14ac:dyDescent="0.35">
      <c r="A136" t="s">
        <v>50</v>
      </c>
      <c r="B136" s="4">
        <v>2018</v>
      </c>
      <c r="C136" s="4">
        <v>0</v>
      </c>
      <c r="D136" s="4">
        <v>2025</v>
      </c>
      <c r="E136" s="5">
        <v>43351</v>
      </c>
      <c r="F136" s="5">
        <v>43487</v>
      </c>
      <c r="G136" t="s">
        <v>36</v>
      </c>
      <c r="H136" t="s">
        <v>31</v>
      </c>
      <c r="I136" t="s">
        <v>51</v>
      </c>
      <c r="J136" s="6">
        <v>1201000</v>
      </c>
      <c r="K136" s="6">
        <v>85000</v>
      </c>
      <c r="L136" s="6">
        <v>723715.75859624008</v>
      </c>
      <c r="M136" s="6">
        <v>216255.88218741168</v>
      </c>
      <c r="N136" s="6">
        <v>21625.58821874117</v>
      </c>
      <c r="O136" s="6">
        <v>194630.29396867051</v>
      </c>
      <c r="P136" s="4">
        <v>1</v>
      </c>
      <c r="Q136" s="4">
        <v>0</v>
      </c>
    </row>
    <row r="137" spans="1:17" x14ac:dyDescent="0.35">
      <c r="A137" t="s">
        <v>50</v>
      </c>
      <c r="B137" s="4">
        <v>2018</v>
      </c>
      <c r="C137" s="4">
        <v>1</v>
      </c>
      <c r="D137" s="4">
        <v>2025</v>
      </c>
      <c r="E137" s="5">
        <v>43351</v>
      </c>
      <c r="F137" s="5">
        <v>43487</v>
      </c>
      <c r="G137" t="s">
        <v>36</v>
      </c>
      <c r="H137" t="s">
        <v>31</v>
      </c>
      <c r="I137" t="s">
        <v>51</v>
      </c>
      <c r="J137" s="6">
        <v>1201000</v>
      </c>
      <c r="K137" s="6">
        <v>85000</v>
      </c>
      <c r="L137" s="6">
        <v>723715.75859624008</v>
      </c>
      <c r="M137" s="6">
        <v>368659.85582432232</v>
      </c>
      <c r="N137" s="6">
        <v>110597.95674729669</v>
      </c>
      <c r="O137" s="6">
        <v>258061.89907702565</v>
      </c>
      <c r="P137" s="4">
        <v>1</v>
      </c>
      <c r="Q137" s="4">
        <v>0</v>
      </c>
    </row>
    <row r="138" spans="1:17" x14ac:dyDescent="0.35">
      <c r="A138" t="s">
        <v>50</v>
      </c>
      <c r="B138" s="4">
        <v>2018</v>
      </c>
      <c r="C138" s="4">
        <v>2</v>
      </c>
      <c r="D138" s="4">
        <v>2025</v>
      </c>
      <c r="E138" s="5">
        <v>43351</v>
      </c>
      <c r="F138" s="5">
        <v>43487</v>
      </c>
      <c r="G138" t="s">
        <v>36</v>
      </c>
      <c r="H138" t="s">
        <v>31</v>
      </c>
      <c r="I138" t="s">
        <v>51</v>
      </c>
      <c r="J138" s="6">
        <v>1201000</v>
      </c>
      <c r="K138" s="6">
        <v>85000</v>
      </c>
      <c r="L138" s="6">
        <v>723715.75859624008</v>
      </c>
      <c r="M138" s="6">
        <v>450299.30851258675</v>
      </c>
      <c r="N138" s="6">
        <v>202634.68883066403</v>
      </c>
      <c r="O138" s="6">
        <v>247664.61968192272</v>
      </c>
      <c r="P138" s="4">
        <v>1</v>
      </c>
      <c r="Q138" s="4">
        <v>0</v>
      </c>
    </row>
    <row r="139" spans="1:17" x14ac:dyDescent="0.35">
      <c r="A139" t="s">
        <v>50</v>
      </c>
      <c r="B139" s="4">
        <v>2018</v>
      </c>
      <c r="C139" s="4">
        <v>3</v>
      </c>
      <c r="D139" s="4">
        <v>2025</v>
      </c>
      <c r="E139" s="5">
        <v>43351</v>
      </c>
      <c r="F139" s="5">
        <v>43487</v>
      </c>
      <c r="G139" t="s">
        <v>36</v>
      </c>
      <c r="H139" t="s">
        <v>31</v>
      </c>
      <c r="I139" t="s">
        <v>51</v>
      </c>
      <c r="J139" s="6">
        <v>1201000</v>
      </c>
      <c r="K139" s="6">
        <v>85000</v>
      </c>
      <c r="L139" s="6">
        <v>723715.75859624008</v>
      </c>
      <c r="M139" s="6">
        <v>568607.11852266605</v>
      </c>
      <c r="N139" s="6">
        <v>568607.11852266605</v>
      </c>
      <c r="O139" s="6">
        <v>0</v>
      </c>
      <c r="P139" s="4">
        <v>1</v>
      </c>
      <c r="Q139" s="4">
        <v>1</v>
      </c>
    </row>
    <row r="140" spans="1:17" x14ac:dyDescent="0.35">
      <c r="A140" t="s">
        <v>50</v>
      </c>
      <c r="B140" s="4">
        <v>2018</v>
      </c>
      <c r="C140" s="4">
        <v>4</v>
      </c>
      <c r="D140" s="4">
        <v>2025</v>
      </c>
      <c r="E140" s="5">
        <v>43351</v>
      </c>
      <c r="F140" s="5">
        <v>43487</v>
      </c>
      <c r="G140" t="s">
        <v>36</v>
      </c>
      <c r="H140" t="s">
        <v>31</v>
      </c>
      <c r="I140" t="s">
        <v>51</v>
      </c>
      <c r="J140" s="6">
        <v>1201000</v>
      </c>
      <c r="K140" s="6">
        <v>85000</v>
      </c>
      <c r="L140" s="6">
        <v>723715.75859624008</v>
      </c>
      <c r="M140" s="6">
        <v>598106.71304028039</v>
      </c>
      <c r="N140" s="6">
        <v>598106.71304028039</v>
      </c>
      <c r="O140" s="6">
        <v>0</v>
      </c>
      <c r="P140" s="4">
        <v>1</v>
      </c>
      <c r="Q140" s="4">
        <v>1</v>
      </c>
    </row>
    <row r="141" spans="1:17" x14ac:dyDescent="0.35">
      <c r="A141" t="s">
        <v>50</v>
      </c>
      <c r="B141" s="4">
        <v>2018</v>
      </c>
      <c r="C141" s="4">
        <v>5</v>
      </c>
      <c r="D141" s="4">
        <v>2025</v>
      </c>
      <c r="E141" s="5">
        <v>43351</v>
      </c>
      <c r="F141" s="5">
        <v>43487</v>
      </c>
      <c r="G141" t="s">
        <v>36</v>
      </c>
      <c r="H141" t="s">
        <v>31</v>
      </c>
      <c r="I141" t="s">
        <v>51</v>
      </c>
      <c r="J141" s="6">
        <v>1201000</v>
      </c>
      <c r="K141" s="6">
        <v>85000</v>
      </c>
      <c r="L141" s="6">
        <v>723715.75859624008</v>
      </c>
      <c r="M141" s="6">
        <v>672359.36742917658</v>
      </c>
      <c r="N141" s="6">
        <v>672359.36742917658</v>
      </c>
      <c r="O141" s="6">
        <v>0</v>
      </c>
      <c r="P141" s="4">
        <v>1</v>
      </c>
      <c r="Q141" s="4">
        <v>1</v>
      </c>
    </row>
    <row r="142" spans="1:17" x14ac:dyDescent="0.35">
      <c r="A142" t="s">
        <v>50</v>
      </c>
      <c r="B142" s="4">
        <v>2018</v>
      </c>
      <c r="C142" s="4">
        <v>6</v>
      </c>
      <c r="D142" s="4">
        <v>2025</v>
      </c>
      <c r="E142" s="5">
        <v>43351</v>
      </c>
      <c r="F142" s="5">
        <v>43487</v>
      </c>
      <c r="G142" t="s">
        <v>36</v>
      </c>
      <c r="H142" t="s">
        <v>31</v>
      </c>
      <c r="I142" t="s">
        <v>51</v>
      </c>
      <c r="J142" s="6">
        <v>1201000</v>
      </c>
      <c r="K142" s="6">
        <v>85000</v>
      </c>
      <c r="L142" s="6">
        <v>723715.75859624008</v>
      </c>
      <c r="M142" s="6">
        <v>672359.36742917658</v>
      </c>
      <c r="N142" s="6">
        <v>672359.36742917658</v>
      </c>
      <c r="O142" s="6">
        <v>0</v>
      </c>
      <c r="P142" s="4">
        <v>1</v>
      </c>
      <c r="Q142" s="4">
        <v>1</v>
      </c>
    </row>
    <row r="143" spans="1:17" x14ac:dyDescent="0.35">
      <c r="A143" t="s">
        <v>50</v>
      </c>
      <c r="B143" s="4">
        <v>2018</v>
      </c>
      <c r="C143" s="4">
        <v>7</v>
      </c>
      <c r="D143" s="4">
        <v>2025</v>
      </c>
      <c r="E143" s="5">
        <v>43351</v>
      </c>
      <c r="F143" s="5">
        <v>43487</v>
      </c>
      <c r="G143" t="s">
        <v>36</v>
      </c>
      <c r="H143" t="s">
        <v>31</v>
      </c>
      <c r="I143" t="s">
        <v>51</v>
      </c>
      <c r="J143" s="6">
        <v>1201000</v>
      </c>
      <c r="K143" s="6">
        <v>85000</v>
      </c>
      <c r="L143" s="6">
        <v>723715.75859624008</v>
      </c>
      <c r="M143" s="6">
        <v>723715.75859624008</v>
      </c>
      <c r="N143" s="6">
        <v>723715.75859624008</v>
      </c>
      <c r="O143" s="6">
        <v>0</v>
      </c>
      <c r="P143" s="4">
        <v>1</v>
      </c>
      <c r="Q143" s="4">
        <v>1</v>
      </c>
    </row>
    <row r="144" spans="1:17" x14ac:dyDescent="0.35">
      <c r="A144" t="s">
        <v>52</v>
      </c>
      <c r="B144" s="4">
        <v>2018</v>
      </c>
      <c r="C144" s="4">
        <v>0</v>
      </c>
      <c r="D144" s="4">
        <v>2025</v>
      </c>
      <c r="E144" s="5">
        <v>43156</v>
      </c>
      <c r="F144" s="5">
        <v>43296</v>
      </c>
      <c r="G144" t="s">
        <v>20</v>
      </c>
      <c r="H144" t="s">
        <v>42</v>
      </c>
      <c r="I144" t="s">
        <v>51</v>
      </c>
      <c r="J144" s="6">
        <v>1727000</v>
      </c>
      <c r="K144" s="6">
        <v>29000</v>
      </c>
      <c r="L144" s="6">
        <v>785471.46654087631</v>
      </c>
      <c r="M144" s="6">
        <v>226279.52665308159</v>
      </c>
      <c r="N144" s="6">
        <v>22627.952665308159</v>
      </c>
      <c r="O144" s="6">
        <v>203651.57398777342</v>
      </c>
      <c r="P144" s="4">
        <v>1</v>
      </c>
      <c r="Q144" s="4">
        <v>0</v>
      </c>
    </row>
    <row r="145" spans="1:17" x14ac:dyDescent="0.35">
      <c r="A145" t="s">
        <v>52</v>
      </c>
      <c r="B145" s="4">
        <v>2018</v>
      </c>
      <c r="C145" s="4">
        <v>1</v>
      </c>
      <c r="D145" s="4">
        <v>2025</v>
      </c>
      <c r="E145" s="5">
        <v>43156</v>
      </c>
      <c r="F145" s="5">
        <v>43296</v>
      </c>
      <c r="G145" t="s">
        <v>20</v>
      </c>
      <c r="H145" t="s">
        <v>42</v>
      </c>
      <c r="I145" t="s">
        <v>51</v>
      </c>
      <c r="J145" s="6">
        <v>1727000</v>
      </c>
      <c r="K145" s="6">
        <v>29000</v>
      </c>
      <c r="L145" s="6">
        <v>785471.46654087631</v>
      </c>
      <c r="M145" s="6">
        <v>384829.16176071268</v>
      </c>
      <c r="N145" s="6">
        <v>115448.74852821381</v>
      </c>
      <c r="O145" s="6">
        <v>269380.41323249886</v>
      </c>
      <c r="P145" s="4">
        <v>1</v>
      </c>
      <c r="Q145" s="4">
        <v>0</v>
      </c>
    </row>
    <row r="146" spans="1:17" x14ac:dyDescent="0.35">
      <c r="A146" t="s">
        <v>52</v>
      </c>
      <c r="B146" s="4">
        <v>2018</v>
      </c>
      <c r="C146" s="4">
        <v>2</v>
      </c>
      <c r="D146" s="4">
        <v>2025</v>
      </c>
      <c r="E146" s="5">
        <v>43156</v>
      </c>
      <c r="F146" s="5">
        <v>43296</v>
      </c>
      <c r="G146" t="s">
        <v>20</v>
      </c>
      <c r="H146" t="s">
        <v>42</v>
      </c>
      <c r="I146" t="s">
        <v>51</v>
      </c>
      <c r="J146" s="6">
        <v>1727000</v>
      </c>
      <c r="K146" s="6">
        <v>29000</v>
      </c>
      <c r="L146" s="6">
        <v>785471.46654087631</v>
      </c>
      <c r="M146" s="6">
        <v>497813.2975852855</v>
      </c>
      <c r="N146" s="6">
        <v>497813.2975852855</v>
      </c>
      <c r="O146" s="6">
        <v>0</v>
      </c>
      <c r="P146" s="4">
        <v>1</v>
      </c>
      <c r="Q146" s="4">
        <v>1</v>
      </c>
    </row>
    <row r="147" spans="1:17" x14ac:dyDescent="0.35">
      <c r="A147" t="s">
        <v>52</v>
      </c>
      <c r="B147" s="4">
        <v>2018</v>
      </c>
      <c r="C147" s="4">
        <v>3</v>
      </c>
      <c r="D147" s="4">
        <v>2025</v>
      </c>
      <c r="E147" s="5">
        <v>43156</v>
      </c>
      <c r="F147" s="5">
        <v>43296</v>
      </c>
      <c r="G147" t="s">
        <v>20</v>
      </c>
      <c r="H147" t="s">
        <v>42</v>
      </c>
      <c r="I147" t="s">
        <v>51</v>
      </c>
      <c r="J147" s="6">
        <v>1727000</v>
      </c>
      <c r="K147" s="6">
        <v>29000</v>
      </c>
      <c r="L147" s="6">
        <v>785471.46654087631</v>
      </c>
      <c r="M147" s="6">
        <v>558922.9930275454</v>
      </c>
      <c r="N147" s="6">
        <v>558922.9930275454</v>
      </c>
      <c r="O147" s="6">
        <v>0</v>
      </c>
      <c r="P147" s="4">
        <v>1</v>
      </c>
      <c r="Q147" s="4">
        <v>1</v>
      </c>
    </row>
    <row r="148" spans="1:17" x14ac:dyDescent="0.35">
      <c r="A148" t="s">
        <v>52</v>
      </c>
      <c r="B148" s="4">
        <v>2018</v>
      </c>
      <c r="C148" s="4">
        <v>4</v>
      </c>
      <c r="D148" s="4">
        <v>2025</v>
      </c>
      <c r="E148" s="5">
        <v>43156</v>
      </c>
      <c r="F148" s="5">
        <v>43296</v>
      </c>
      <c r="G148" t="s">
        <v>20</v>
      </c>
      <c r="H148" t="s">
        <v>42</v>
      </c>
      <c r="I148" t="s">
        <v>51</v>
      </c>
      <c r="J148" s="6">
        <v>1727000</v>
      </c>
      <c r="K148" s="6">
        <v>29000</v>
      </c>
      <c r="L148" s="6">
        <v>785471.46654087631</v>
      </c>
      <c r="M148" s="6">
        <v>713063.34099494736</v>
      </c>
      <c r="N148" s="6">
        <v>713063.34099494736</v>
      </c>
      <c r="O148" s="6">
        <v>0</v>
      </c>
      <c r="P148" s="4">
        <v>1</v>
      </c>
      <c r="Q148" s="4">
        <v>1</v>
      </c>
    </row>
    <row r="149" spans="1:17" x14ac:dyDescent="0.35">
      <c r="A149" t="s">
        <v>52</v>
      </c>
      <c r="B149" s="4">
        <v>2018</v>
      </c>
      <c r="C149" s="4">
        <v>5</v>
      </c>
      <c r="D149" s="4">
        <v>2025</v>
      </c>
      <c r="E149" s="5">
        <v>43156</v>
      </c>
      <c r="F149" s="5">
        <v>43296</v>
      </c>
      <c r="G149" t="s">
        <v>20</v>
      </c>
      <c r="H149" t="s">
        <v>42</v>
      </c>
      <c r="I149" t="s">
        <v>51</v>
      </c>
      <c r="J149" s="6">
        <v>1727000</v>
      </c>
      <c r="K149" s="6">
        <v>29000</v>
      </c>
      <c r="L149" s="6">
        <v>785471.46654087631</v>
      </c>
      <c r="M149" s="6">
        <v>713063.34099494736</v>
      </c>
      <c r="N149" s="6">
        <v>713063.34099494736</v>
      </c>
      <c r="O149" s="6">
        <v>0</v>
      </c>
      <c r="P149" s="4">
        <v>1</v>
      </c>
      <c r="Q149" s="4">
        <v>1</v>
      </c>
    </row>
    <row r="150" spans="1:17" x14ac:dyDescent="0.35">
      <c r="A150" t="s">
        <v>52</v>
      </c>
      <c r="B150" s="4">
        <v>2018</v>
      </c>
      <c r="C150" s="4">
        <v>6</v>
      </c>
      <c r="D150" s="4">
        <v>2025</v>
      </c>
      <c r="E150" s="5">
        <v>43156</v>
      </c>
      <c r="F150" s="5">
        <v>43296</v>
      </c>
      <c r="G150" t="s">
        <v>20</v>
      </c>
      <c r="H150" t="s">
        <v>42</v>
      </c>
      <c r="I150" t="s">
        <v>51</v>
      </c>
      <c r="J150" s="6">
        <v>1727000</v>
      </c>
      <c r="K150" s="6">
        <v>29000</v>
      </c>
      <c r="L150" s="6">
        <v>785471.46654087631</v>
      </c>
      <c r="M150" s="6">
        <v>742043.09808318014</v>
      </c>
      <c r="N150" s="6">
        <v>742043.09808318014</v>
      </c>
      <c r="O150" s="6">
        <v>0</v>
      </c>
      <c r="P150" s="4">
        <v>1</v>
      </c>
      <c r="Q150" s="4">
        <v>1</v>
      </c>
    </row>
    <row r="151" spans="1:17" x14ac:dyDescent="0.35">
      <c r="A151" t="s">
        <v>52</v>
      </c>
      <c r="B151" s="4">
        <v>2018</v>
      </c>
      <c r="C151" s="4">
        <v>7</v>
      </c>
      <c r="D151" s="4">
        <v>2025</v>
      </c>
      <c r="E151" s="5">
        <v>43156</v>
      </c>
      <c r="F151" s="5">
        <v>43296</v>
      </c>
      <c r="G151" t="s">
        <v>20</v>
      </c>
      <c r="H151" t="s">
        <v>42</v>
      </c>
      <c r="I151" t="s">
        <v>51</v>
      </c>
      <c r="J151" s="6">
        <v>1727000</v>
      </c>
      <c r="K151" s="6">
        <v>29000</v>
      </c>
      <c r="L151" s="6">
        <v>785471.46654087631</v>
      </c>
      <c r="M151" s="6">
        <v>756676.51293387241</v>
      </c>
      <c r="N151" s="6">
        <v>756676.51293387241</v>
      </c>
      <c r="O151" s="6">
        <v>0</v>
      </c>
      <c r="P151" s="4">
        <v>1</v>
      </c>
      <c r="Q151" s="4">
        <v>1</v>
      </c>
    </row>
    <row r="152" spans="1:17" x14ac:dyDescent="0.35">
      <c r="A152" t="s">
        <v>53</v>
      </c>
      <c r="B152" s="4">
        <v>2019</v>
      </c>
      <c r="C152" s="4">
        <v>0</v>
      </c>
      <c r="D152" s="4">
        <v>2025</v>
      </c>
      <c r="E152" s="5">
        <v>43791</v>
      </c>
      <c r="F152" s="5">
        <v>43821</v>
      </c>
      <c r="G152" t="s">
        <v>36</v>
      </c>
      <c r="H152" t="s">
        <v>42</v>
      </c>
      <c r="I152" t="s">
        <v>25</v>
      </c>
      <c r="J152" s="6">
        <v>2447000</v>
      </c>
      <c r="K152" s="6">
        <v>138000</v>
      </c>
      <c r="L152" s="6">
        <v>1084266.8248225825</v>
      </c>
      <c r="M152" s="6">
        <v>303128.52844859869</v>
      </c>
      <c r="N152" s="6">
        <v>30312.85284485987</v>
      </c>
      <c r="O152" s="6">
        <v>272815.67560373881</v>
      </c>
      <c r="P152" s="4">
        <v>1</v>
      </c>
      <c r="Q152" s="4">
        <v>0</v>
      </c>
    </row>
    <row r="153" spans="1:17" x14ac:dyDescent="0.35">
      <c r="A153" t="s">
        <v>53</v>
      </c>
      <c r="B153" s="4">
        <v>2019</v>
      </c>
      <c r="C153" s="4">
        <v>1</v>
      </c>
      <c r="D153" s="4">
        <v>2025</v>
      </c>
      <c r="E153" s="5">
        <v>43791</v>
      </c>
      <c r="F153" s="5">
        <v>43821</v>
      </c>
      <c r="G153" t="s">
        <v>36</v>
      </c>
      <c r="H153" t="s">
        <v>42</v>
      </c>
      <c r="I153" t="s">
        <v>25</v>
      </c>
      <c r="J153" s="6">
        <v>2447000</v>
      </c>
      <c r="K153" s="6">
        <v>138000</v>
      </c>
      <c r="L153" s="6">
        <v>1084266.8248225825</v>
      </c>
      <c r="M153" s="6">
        <v>539137.07748904999</v>
      </c>
      <c r="N153" s="6">
        <v>161741.123246715</v>
      </c>
      <c r="O153" s="6">
        <v>377395.95424233499</v>
      </c>
      <c r="P153" s="4">
        <v>1</v>
      </c>
      <c r="Q153" s="4">
        <v>0</v>
      </c>
    </row>
    <row r="154" spans="1:17" x14ac:dyDescent="0.35">
      <c r="A154" t="s">
        <v>53</v>
      </c>
      <c r="B154" s="4">
        <v>2019</v>
      </c>
      <c r="C154" s="4">
        <v>2</v>
      </c>
      <c r="D154" s="4">
        <v>2025</v>
      </c>
      <c r="E154" s="5">
        <v>43791</v>
      </c>
      <c r="F154" s="5">
        <v>43821</v>
      </c>
      <c r="G154" t="s">
        <v>36</v>
      </c>
      <c r="H154" t="s">
        <v>42</v>
      </c>
      <c r="I154" t="s">
        <v>25</v>
      </c>
      <c r="J154" s="6">
        <v>2447000</v>
      </c>
      <c r="K154" s="6">
        <v>138000</v>
      </c>
      <c r="L154" s="6">
        <v>1084266.8248225825</v>
      </c>
      <c r="M154" s="6">
        <v>711073.34133355215</v>
      </c>
      <c r="N154" s="6">
        <v>319983.00360009848</v>
      </c>
      <c r="O154" s="6">
        <v>391090.33773345366</v>
      </c>
      <c r="P154" s="4">
        <v>1</v>
      </c>
      <c r="Q154" s="4">
        <v>0</v>
      </c>
    </row>
    <row r="155" spans="1:17" x14ac:dyDescent="0.35">
      <c r="A155" t="s">
        <v>53</v>
      </c>
      <c r="B155" s="4">
        <v>2019</v>
      </c>
      <c r="C155" s="4">
        <v>3</v>
      </c>
      <c r="D155" s="4">
        <v>2025</v>
      </c>
      <c r="E155" s="5">
        <v>43791</v>
      </c>
      <c r="F155" s="5">
        <v>43821</v>
      </c>
      <c r="G155" t="s">
        <v>36</v>
      </c>
      <c r="H155" t="s">
        <v>42</v>
      </c>
      <c r="I155" t="s">
        <v>25</v>
      </c>
      <c r="J155" s="6">
        <v>2447000</v>
      </c>
      <c r="K155" s="6">
        <v>138000</v>
      </c>
      <c r="L155" s="6">
        <v>1084266.8248225825</v>
      </c>
      <c r="M155" s="6">
        <v>794416.04534117854</v>
      </c>
      <c r="N155" s="6">
        <v>476649.62720470713</v>
      </c>
      <c r="O155" s="6">
        <v>317766.41813647142</v>
      </c>
      <c r="P155" s="4">
        <v>1</v>
      </c>
      <c r="Q155" s="4">
        <v>0</v>
      </c>
    </row>
    <row r="156" spans="1:17" x14ac:dyDescent="0.35">
      <c r="A156" t="s">
        <v>53</v>
      </c>
      <c r="B156" s="4">
        <v>2019</v>
      </c>
      <c r="C156" s="4">
        <v>4</v>
      </c>
      <c r="D156" s="4">
        <v>2025</v>
      </c>
      <c r="E156" s="5">
        <v>43791</v>
      </c>
      <c r="F156" s="5">
        <v>43821</v>
      </c>
      <c r="G156" t="s">
        <v>36</v>
      </c>
      <c r="H156" t="s">
        <v>42</v>
      </c>
      <c r="I156" t="s">
        <v>25</v>
      </c>
      <c r="J156" s="6">
        <v>2447000</v>
      </c>
      <c r="K156" s="6">
        <v>138000</v>
      </c>
      <c r="L156" s="6">
        <v>1084266.8248225825</v>
      </c>
      <c r="M156" s="6">
        <v>956535.99107743998</v>
      </c>
      <c r="N156" s="6">
        <v>688705.91357575671</v>
      </c>
      <c r="O156" s="6">
        <v>267830.07750168326</v>
      </c>
      <c r="P156" s="4">
        <v>1</v>
      </c>
      <c r="Q156" s="4">
        <v>0</v>
      </c>
    </row>
    <row r="157" spans="1:17" x14ac:dyDescent="0.35">
      <c r="A157" t="s">
        <v>53</v>
      </c>
      <c r="B157" s="4">
        <v>2019</v>
      </c>
      <c r="C157" s="4">
        <v>5</v>
      </c>
      <c r="D157" s="4">
        <v>2025</v>
      </c>
      <c r="E157" s="5">
        <v>43791</v>
      </c>
      <c r="F157" s="5">
        <v>43821</v>
      </c>
      <c r="G157" t="s">
        <v>36</v>
      </c>
      <c r="H157" t="s">
        <v>42</v>
      </c>
      <c r="I157" t="s">
        <v>25</v>
      </c>
      <c r="J157" s="6">
        <v>2447000</v>
      </c>
      <c r="K157" s="6">
        <v>138000</v>
      </c>
      <c r="L157" s="6">
        <v>1084266.8248225825</v>
      </c>
      <c r="M157" s="6">
        <v>956535.99107743998</v>
      </c>
      <c r="N157" s="6">
        <v>784359.51268350077</v>
      </c>
      <c r="O157" s="6">
        <v>172176.47839393921</v>
      </c>
      <c r="P157" s="4">
        <v>1</v>
      </c>
      <c r="Q157" s="4">
        <v>0</v>
      </c>
    </row>
    <row r="158" spans="1:17" x14ac:dyDescent="0.35">
      <c r="A158" t="s">
        <v>53</v>
      </c>
      <c r="B158" s="4">
        <v>2019</v>
      </c>
      <c r="C158" s="4">
        <v>6</v>
      </c>
      <c r="D158" s="4">
        <v>2025</v>
      </c>
      <c r="E158" s="5">
        <v>43791</v>
      </c>
      <c r="F158" s="5">
        <v>43821</v>
      </c>
      <c r="G158" t="s">
        <v>36</v>
      </c>
      <c r="H158" t="s">
        <v>42</v>
      </c>
      <c r="I158" t="s">
        <v>25</v>
      </c>
      <c r="J158" s="6">
        <v>2447000</v>
      </c>
      <c r="K158" s="6">
        <v>138000</v>
      </c>
      <c r="L158" s="6">
        <v>1084266.8248225825</v>
      </c>
      <c r="M158" s="6">
        <v>1013694.6342699454</v>
      </c>
      <c r="N158" s="6">
        <v>1013694.6342699454</v>
      </c>
      <c r="O158" s="6">
        <v>0</v>
      </c>
      <c r="P158" s="4">
        <v>1</v>
      </c>
      <c r="Q158" s="4">
        <v>1</v>
      </c>
    </row>
    <row r="159" spans="1:17" x14ac:dyDescent="0.35">
      <c r="A159" t="s">
        <v>54</v>
      </c>
      <c r="B159" s="4">
        <v>2019</v>
      </c>
      <c r="C159" s="4">
        <v>0</v>
      </c>
      <c r="D159" s="4">
        <v>2025</v>
      </c>
      <c r="E159" s="5">
        <v>43826</v>
      </c>
      <c r="F159" s="5">
        <v>43953</v>
      </c>
      <c r="G159" t="s">
        <v>27</v>
      </c>
      <c r="H159" t="s">
        <v>47</v>
      </c>
      <c r="I159" t="s">
        <v>32</v>
      </c>
      <c r="J159" s="6">
        <v>4407000</v>
      </c>
      <c r="K159" s="6">
        <v>175000</v>
      </c>
      <c r="L159" s="6">
        <v>2279052.4793956564</v>
      </c>
      <c r="M159" s="6">
        <v>660896.03677489713</v>
      </c>
      <c r="N159" s="6">
        <v>66089.603677489722</v>
      </c>
      <c r="O159" s="6">
        <v>594806.43309740745</v>
      </c>
      <c r="P159" s="4">
        <v>1</v>
      </c>
      <c r="Q159" s="4">
        <v>0</v>
      </c>
    </row>
    <row r="160" spans="1:17" x14ac:dyDescent="0.35">
      <c r="A160" t="s">
        <v>54</v>
      </c>
      <c r="B160" s="4">
        <v>2019</v>
      </c>
      <c r="C160" s="4">
        <v>1</v>
      </c>
      <c r="D160" s="4">
        <v>2025</v>
      </c>
      <c r="E160" s="5">
        <v>43826</v>
      </c>
      <c r="F160" s="5">
        <v>43953</v>
      </c>
      <c r="G160" t="s">
        <v>27</v>
      </c>
      <c r="H160" t="s">
        <v>47</v>
      </c>
      <c r="I160" t="s">
        <v>32</v>
      </c>
      <c r="J160" s="6">
        <v>4407000</v>
      </c>
      <c r="K160" s="6">
        <v>175000</v>
      </c>
      <c r="L160" s="6">
        <v>2279052.4793956564</v>
      </c>
      <c r="M160" s="6">
        <v>1140119.3245173073</v>
      </c>
      <c r="N160" s="6">
        <v>342035.79735519219</v>
      </c>
      <c r="O160" s="6">
        <v>798083.52716211509</v>
      </c>
      <c r="P160" s="4">
        <v>1</v>
      </c>
      <c r="Q160" s="4">
        <v>0</v>
      </c>
    </row>
    <row r="161" spans="1:17" x14ac:dyDescent="0.35">
      <c r="A161" t="s">
        <v>54</v>
      </c>
      <c r="B161" s="4">
        <v>2019</v>
      </c>
      <c r="C161" s="4">
        <v>2</v>
      </c>
      <c r="D161" s="4">
        <v>2025</v>
      </c>
      <c r="E161" s="5">
        <v>43826</v>
      </c>
      <c r="F161" s="5">
        <v>43953</v>
      </c>
      <c r="G161" t="s">
        <v>27</v>
      </c>
      <c r="H161" t="s">
        <v>47</v>
      </c>
      <c r="I161" t="s">
        <v>32</v>
      </c>
      <c r="J161" s="6">
        <v>4407000</v>
      </c>
      <c r="K161" s="6">
        <v>175000</v>
      </c>
      <c r="L161" s="6">
        <v>2279052.4793956564</v>
      </c>
      <c r="M161" s="6">
        <v>1518056.0669414825</v>
      </c>
      <c r="N161" s="6">
        <v>683125.23012366716</v>
      </c>
      <c r="O161" s="6">
        <v>834930.83681781532</v>
      </c>
      <c r="P161" s="4">
        <v>1</v>
      </c>
      <c r="Q161" s="4">
        <v>0</v>
      </c>
    </row>
    <row r="162" spans="1:17" x14ac:dyDescent="0.35">
      <c r="A162" t="s">
        <v>54</v>
      </c>
      <c r="B162" s="4">
        <v>2019</v>
      </c>
      <c r="C162" s="4">
        <v>3</v>
      </c>
      <c r="D162" s="4">
        <v>2025</v>
      </c>
      <c r="E162" s="5">
        <v>43826</v>
      </c>
      <c r="F162" s="5">
        <v>43953</v>
      </c>
      <c r="G162" t="s">
        <v>27</v>
      </c>
      <c r="H162" t="s">
        <v>47</v>
      </c>
      <c r="I162" t="s">
        <v>32</v>
      </c>
      <c r="J162" s="6">
        <v>4407000</v>
      </c>
      <c r="K162" s="6">
        <v>175000</v>
      </c>
      <c r="L162" s="6">
        <v>2279052.4793956564</v>
      </c>
      <c r="M162" s="6">
        <v>1679983.9377673496</v>
      </c>
      <c r="N162" s="6">
        <v>1007990.3626604098</v>
      </c>
      <c r="O162" s="6">
        <v>671993.57510693988</v>
      </c>
      <c r="P162" s="4">
        <v>1</v>
      </c>
      <c r="Q162" s="4">
        <v>0</v>
      </c>
    </row>
    <row r="163" spans="1:17" x14ac:dyDescent="0.35">
      <c r="A163" t="s">
        <v>54</v>
      </c>
      <c r="B163" s="4">
        <v>2019</v>
      </c>
      <c r="C163" s="4">
        <v>4</v>
      </c>
      <c r="D163" s="4">
        <v>2025</v>
      </c>
      <c r="E163" s="5">
        <v>43826</v>
      </c>
      <c r="F163" s="5">
        <v>43953</v>
      </c>
      <c r="G163" t="s">
        <v>27</v>
      </c>
      <c r="H163" t="s">
        <v>47</v>
      </c>
      <c r="I163" t="s">
        <v>32</v>
      </c>
      <c r="J163" s="6">
        <v>4407000</v>
      </c>
      <c r="K163" s="6">
        <v>175000</v>
      </c>
      <c r="L163" s="6">
        <v>2279052.4793956564</v>
      </c>
      <c r="M163" s="6">
        <v>1774941.7807578798</v>
      </c>
      <c r="N163" s="6">
        <v>1277958.0821456735</v>
      </c>
      <c r="O163" s="6">
        <v>496983.69861220638</v>
      </c>
      <c r="P163" s="4">
        <v>1</v>
      </c>
      <c r="Q163" s="4">
        <v>0</v>
      </c>
    </row>
    <row r="164" spans="1:17" x14ac:dyDescent="0.35">
      <c r="A164" t="s">
        <v>54</v>
      </c>
      <c r="B164" s="4">
        <v>2019</v>
      </c>
      <c r="C164" s="4">
        <v>5</v>
      </c>
      <c r="D164" s="4">
        <v>2025</v>
      </c>
      <c r="E164" s="5">
        <v>43826</v>
      </c>
      <c r="F164" s="5">
        <v>43953</v>
      </c>
      <c r="G164" t="s">
        <v>27</v>
      </c>
      <c r="H164" t="s">
        <v>47</v>
      </c>
      <c r="I164" t="s">
        <v>32</v>
      </c>
      <c r="J164" s="6">
        <v>4407000</v>
      </c>
      <c r="K164" s="6">
        <v>175000</v>
      </c>
      <c r="L164" s="6">
        <v>2279052.4793956564</v>
      </c>
      <c r="M164" s="6">
        <v>2035936.8340754232</v>
      </c>
      <c r="N164" s="6">
        <v>1669468.203941847</v>
      </c>
      <c r="O164" s="6">
        <v>366468.63013357623</v>
      </c>
      <c r="P164" s="4">
        <v>1</v>
      </c>
      <c r="Q164" s="4">
        <v>0</v>
      </c>
    </row>
    <row r="165" spans="1:17" x14ac:dyDescent="0.35">
      <c r="A165" t="s">
        <v>54</v>
      </c>
      <c r="B165" s="4">
        <v>2019</v>
      </c>
      <c r="C165" s="4">
        <v>6</v>
      </c>
      <c r="D165" s="4">
        <v>2025</v>
      </c>
      <c r="E165" s="5">
        <v>43826</v>
      </c>
      <c r="F165" s="5">
        <v>43953</v>
      </c>
      <c r="G165" t="s">
        <v>27</v>
      </c>
      <c r="H165" t="s">
        <v>47</v>
      </c>
      <c r="I165" t="s">
        <v>32</v>
      </c>
      <c r="J165" s="6">
        <v>4407000</v>
      </c>
      <c r="K165" s="6">
        <v>175000</v>
      </c>
      <c r="L165" s="6">
        <v>2279052.4793956564</v>
      </c>
      <c r="M165" s="6">
        <v>2147073.0647460083</v>
      </c>
      <c r="N165" s="6">
        <v>1932365.7582714076</v>
      </c>
      <c r="O165" s="6">
        <v>214707.30647460069</v>
      </c>
      <c r="P165" s="4">
        <v>1</v>
      </c>
      <c r="Q165" s="4">
        <v>0</v>
      </c>
    </row>
    <row r="166" spans="1:17" x14ac:dyDescent="0.35">
      <c r="A166" t="s">
        <v>55</v>
      </c>
      <c r="B166" s="4">
        <v>2019</v>
      </c>
      <c r="C166" s="4">
        <v>0</v>
      </c>
      <c r="D166" s="4">
        <v>2025</v>
      </c>
      <c r="E166" s="5">
        <v>43520</v>
      </c>
      <c r="F166" s="5">
        <v>43654</v>
      </c>
      <c r="G166" t="s">
        <v>36</v>
      </c>
      <c r="H166" t="s">
        <v>21</v>
      </c>
      <c r="I166" t="s">
        <v>25</v>
      </c>
      <c r="J166" s="6">
        <v>2555000</v>
      </c>
      <c r="K166" s="6">
        <v>126000</v>
      </c>
      <c r="L166" s="6">
        <v>2052353.4431836857</v>
      </c>
      <c r="M166" s="6">
        <v>599667.79788525368</v>
      </c>
      <c r="N166" s="6">
        <v>59966.779788525368</v>
      </c>
      <c r="O166" s="6">
        <v>539701.01809672825</v>
      </c>
      <c r="P166" s="4">
        <v>1</v>
      </c>
      <c r="Q166" s="4">
        <v>0</v>
      </c>
    </row>
    <row r="167" spans="1:17" x14ac:dyDescent="0.35">
      <c r="A167" t="s">
        <v>55</v>
      </c>
      <c r="B167" s="4">
        <v>2019</v>
      </c>
      <c r="C167" s="4">
        <v>1</v>
      </c>
      <c r="D167" s="4">
        <v>2025</v>
      </c>
      <c r="E167" s="5">
        <v>43520</v>
      </c>
      <c r="F167" s="5">
        <v>43654</v>
      </c>
      <c r="G167" t="s">
        <v>36</v>
      </c>
      <c r="H167" t="s">
        <v>21</v>
      </c>
      <c r="I167" t="s">
        <v>25</v>
      </c>
      <c r="J167" s="6">
        <v>2555000</v>
      </c>
      <c r="K167" s="6">
        <v>126000</v>
      </c>
      <c r="L167" s="6">
        <v>2052353.4431836857</v>
      </c>
      <c r="M167" s="6">
        <v>1102490.7990631887</v>
      </c>
      <c r="N167" s="6">
        <v>330747.23971895658</v>
      </c>
      <c r="O167" s="6">
        <v>771743.55934423208</v>
      </c>
      <c r="P167" s="4">
        <v>1</v>
      </c>
      <c r="Q167" s="4">
        <v>0</v>
      </c>
    </row>
    <row r="168" spans="1:17" x14ac:dyDescent="0.35">
      <c r="A168" t="s">
        <v>55</v>
      </c>
      <c r="B168" s="4">
        <v>2019</v>
      </c>
      <c r="C168" s="4">
        <v>2</v>
      </c>
      <c r="D168" s="4">
        <v>2025</v>
      </c>
      <c r="E168" s="5">
        <v>43520</v>
      </c>
      <c r="F168" s="5">
        <v>43654</v>
      </c>
      <c r="G168" t="s">
        <v>36</v>
      </c>
      <c r="H168" t="s">
        <v>21</v>
      </c>
      <c r="I168" t="s">
        <v>25</v>
      </c>
      <c r="J168" s="6">
        <v>2555000</v>
      </c>
      <c r="K168" s="6">
        <v>126000</v>
      </c>
      <c r="L168" s="6">
        <v>2052353.4431836857</v>
      </c>
      <c r="M168" s="6">
        <v>1262334.0157247456</v>
      </c>
      <c r="N168" s="6">
        <v>1262334.0157247456</v>
      </c>
      <c r="O168" s="6">
        <v>0</v>
      </c>
      <c r="P168" s="4">
        <v>1</v>
      </c>
      <c r="Q168" s="4">
        <v>1</v>
      </c>
    </row>
    <row r="169" spans="1:17" x14ac:dyDescent="0.35">
      <c r="A169" t="s">
        <v>55</v>
      </c>
      <c r="B169" s="4">
        <v>2019</v>
      </c>
      <c r="C169" s="4">
        <v>3</v>
      </c>
      <c r="D169" s="4">
        <v>2025</v>
      </c>
      <c r="E169" s="5">
        <v>43520</v>
      </c>
      <c r="F169" s="5">
        <v>43654</v>
      </c>
      <c r="G169" t="s">
        <v>36</v>
      </c>
      <c r="H169" t="s">
        <v>21</v>
      </c>
      <c r="I169" t="s">
        <v>25</v>
      </c>
      <c r="J169" s="6">
        <v>2555000</v>
      </c>
      <c r="K169" s="6">
        <v>126000</v>
      </c>
      <c r="L169" s="6">
        <v>2052353.4431836857</v>
      </c>
      <c r="M169" s="6">
        <v>1656405.8836674425</v>
      </c>
      <c r="N169" s="6">
        <v>1656405.8836674425</v>
      </c>
      <c r="O169" s="6">
        <v>0</v>
      </c>
      <c r="P169" s="4">
        <v>1</v>
      </c>
      <c r="Q169" s="4">
        <v>1</v>
      </c>
    </row>
    <row r="170" spans="1:17" x14ac:dyDescent="0.35">
      <c r="A170" t="s">
        <v>55</v>
      </c>
      <c r="B170" s="4">
        <v>2019</v>
      </c>
      <c r="C170" s="4">
        <v>4</v>
      </c>
      <c r="D170" s="4">
        <v>2025</v>
      </c>
      <c r="E170" s="5">
        <v>43520</v>
      </c>
      <c r="F170" s="5">
        <v>43654</v>
      </c>
      <c r="G170" t="s">
        <v>36</v>
      </c>
      <c r="H170" t="s">
        <v>21</v>
      </c>
      <c r="I170" t="s">
        <v>25</v>
      </c>
      <c r="J170" s="6">
        <v>2555000</v>
      </c>
      <c r="K170" s="6">
        <v>126000</v>
      </c>
      <c r="L170" s="6">
        <v>2052353.4431836857</v>
      </c>
      <c r="M170" s="6">
        <v>1656405.8836674425</v>
      </c>
      <c r="N170" s="6">
        <v>1656405.8836674425</v>
      </c>
      <c r="O170" s="6">
        <v>0</v>
      </c>
      <c r="P170" s="4">
        <v>1</v>
      </c>
      <c r="Q170" s="4">
        <v>1</v>
      </c>
    </row>
    <row r="171" spans="1:17" x14ac:dyDescent="0.35">
      <c r="A171" t="s">
        <v>55</v>
      </c>
      <c r="B171" s="4">
        <v>2019</v>
      </c>
      <c r="C171" s="4">
        <v>5</v>
      </c>
      <c r="D171" s="4">
        <v>2025</v>
      </c>
      <c r="E171" s="5">
        <v>43520</v>
      </c>
      <c r="F171" s="5">
        <v>43654</v>
      </c>
      <c r="G171" t="s">
        <v>36</v>
      </c>
      <c r="H171" t="s">
        <v>21</v>
      </c>
      <c r="I171" t="s">
        <v>25</v>
      </c>
      <c r="J171" s="6">
        <v>2555000</v>
      </c>
      <c r="K171" s="6">
        <v>126000</v>
      </c>
      <c r="L171" s="6">
        <v>2052353.4431836857</v>
      </c>
      <c r="M171" s="6">
        <v>1844643.1397065034</v>
      </c>
      <c r="N171" s="6">
        <v>1844643.1397065034</v>
      </c>
      <c r="O171" s="6">
        <v>0</v>
      </c>
      <c r="P171" s="4">
        <v>1</v>
      </c>
      <c r="Q171" s="4">
        <v>1</v>
      </c>
    </row>
    <row r="172" spans="1:17" x14ac:dyDescent="0.35">
      <c r="A172" t="s">
        <v>55</v>
      </c>
      <c r="B172" s="4">
        <v>2019</v>
      </c>
      <c r="C172" s="4">
        <v>6</v>
      </c>
      <c r="D172" s="4">
        <v>2025</v>
      </c>
      <c r="E172" s="5">
        <v>43520</v>
      </c>
      <c r="F172" s="5">
        <v>43654</v>
      </c>
      <c r="G172" t="s">
        <v>36</v>
      </c>
      <c r="H172" t="s">
        <v>21</v>
      </c>
      <c r="I172" t="s">
        <v>25</v>
      </c>
      <c r="J172" s="6">
        <v>2555000</v>
      </c>
      <c r="K172" s="6">
        <v>126000</v>
      </c>
      <c r="L172" s="6">
        <v>2052353.4431836857</v>
      </c>
      <c r="M172" s="6">
        <v>1949007.301433092</v>
      </c>
      <c r="N172" s="6">
        <v>1949007.301433092</v>
      </c>
      <c r="O172" s="6">
        <v>0</v>
      </c>
      <c r="P172" s="4">
        <v>1</v>
      </c>
      <c r="Q172" s="4">
        <v>1</v>
      </c>
    </row>
    <row r="173" spans="1:17" x14ac:dyDescent="0.35">
      <c r="A173" t="s">
        <v>56</v>
      </c>
      <c r="B173" s="4">
        <v>2019</v>
      </c>
      <c r="C173" s="4">
        <v>0</v>
      </c>
      <c r="D173" s="4">
        <v>2025</v>
      </c>
      <c r="E173" s="5">
        <v>43649</v>
      </c>
      <c r="F173" s="5">
        <v>43778</v>
      </c>
      <c r="G173" t="s">
        <v>41</v>
      </c>
      <c r="H173" t="s">
        <v>21</v>
      </c>
      <c r="I173" t="s">
        <v>29</v>
      </c>
      <c r="J173" s="6">
        <v>3486000</v>
      </c>
      <c r="K173" s="6">
        <v>237000</v>
      </c>
      <c r="L173" s="6">
        <v>1345195.384565908</v>
      </c>
      <c r="M173" s="6">
        <v>404291.3802418664</v>
      </c>
      <c r="N173" s="6">
        <v>40429.138024186643</v>
      </c>
      <c r="O173" s="6">
        <v>363862.24221767974</v>
      </c>
      <c r="P173" s="4">
        <v>1</v>
      </c>
      <c r="Q173" s="4">
        <v>0</v>
      </c>
    </row>
    <row r="174" spans="1:17" x14ac:dyDescent="0.35">
      <c r="A174" t="s">
        <v>56</v>
      </c>
      <c r="B174" s="4">
        <v>2019</v>
      </c>
      <c r="C174" s="4">
        <v>1</v>
      </c>
      <c r="D174" s="4">
        <v>2025</v>
      </c>
      <c r="E174" s="5">
        <v>43649</v>
      </c>
      <c r="F174" s="5">
        <v>43778</v>
      </c>
      <c r="G174" t="s">
        <v>41</v>
      </c>
      <c r="H174" t="s">
        <v>21</v>
      </c>
      <c r="I174" t="s">
        <v>29</v>
      </c>
      <c r="J174" s="6">
        <v>3486000</v>
      </c>
      <c r="K174" s="6">
        <v>237000</v>
      </c>
      <c r="L174" s="6">
        <v>1345195.384565908</v>
      </c>
      <c r="M174" s="6">
        <v>676428.66320855787</v>
      </c>
      <c r="N174" s="6">
        <v>202928.59896256737</v>
      </c>
      <c r="O174" s="6">
        <v>473500.06424599048</v>
      </c>
      <c r="P174" s="4">
        <v>1</v>
      </c>
      <c r="Q174" s="4">
        <v>0</v>
      </c>
    </row>
    <row r="175" spans="1:17" x14ac:dyDescent="0.35">
      <c r="A175" t="s">
        <v>56</v>
      </c>
      <c r="B175" s="4">
        <v>2019</v>
      </c>
      <c r="C175" s="4">
        <v>2</v>
      </c>
      <c r="D175" s="4">
        <v>2025</v>
      </c>
      <c r="E175" s="5">
        <v>43649</v>
      </c>
      <c r="F175" s="5">
        <v>43778</v>
      </c>
      <c r="G175" t="s">
        <v>41</v>
      </c>
      <c r="H175" t="s">
        <v>21</v>
      </c>
      <c r="I175" t="s">
        <v>29</v>
      </c>
      <c r="J175" s="6">
        <v>3486000</v>
      </c>
      <c r="K175" s="6">
        <v>237000</v>
      </c>
      <c r="L175" s="6">
        <v>1345195.384565908</v>
      </c>
      <c r="M175" s="6">
        <v>866312.13311286725</v>
      </c>
      <c r="N175" s="6">
        <v>389840.45990079024</v>
      </c>
      <c r="O175" s="6">
        <v>476471.673212077</v>
      </c>
      <c r="P175" s="4">
        <v>1</v>
      </c>
      <c r="Q175" s="4">
        <v>0</v>
      </c>
    </row>
    <row r="176" spans="1:17" x14ac:dyDescent="0.35">
      <c r="A176" t="s">
        <v>56</v>
      </c>
      <c r="B176" s="4">
        <v>2019</v>
      </c>
      <c r="C176" s="4">
        <v>3</v>
      </c>
      <c r="D176" s="4">
        <v>2025</v>
      </c>
      <c r="E176" s="5">
        <v>43649</v>
      </c>
      <c r="F176" s="5">
        <v>43778</v>
      </c>
      <c r="G176" t="s">
        <v>41</v>
      </c>
      <c r="H176" t="s">
        <v>21</v>
      </c>
      <c r="I176" t="s">
        <v>29</v>
      </c>
      <c r="J176" s="6">
        <v>3486000</v>
      </c>
      <c r="K176" s="6">
        <v>237000</v>
      </c>
      <c r="L176" s="6">
        <v>1345195.384565908</v>
      </c>
      <c r="M176" s="6">
        <v>1031741.7747933376</v>
      </c>
      <c r="N176" s="6">
        <v>619045.06487600249</v>
      </c>
      <c r="O176" s="6">
        <v>412696.70991733507</v>
      </c>
      <c r="P176" s="4">
        <v>1</v>
      </c>
      <c r="Q176" s="4">
        <v>0</v>
      </c>
    </row>
    <row r="177" spans="1:17" x14ac:dyDescent="0.35">
      <c r="A177" t="s">
        <v>56</v>
      </c>
      <c r="B177" s="4">
        <v>2019</v>
      </c>
      <c r="C177" s="4">
        <v>4</v>
      </c>
      <c r="D177" s="4">
        <v>2025</v>
      </c>
      <c r="E177" s="5">
        <v>43649</v>
      </c>
      <c r="F177" s="5">
        <v>43778</v>
      </c>
      <c r="G177" t="s">
        <v>41</v>
      </c>
      <c r="H177" t="s">
        <v>21</v>
      </c>
      <c r="I177" t="s">
        <v>29</v>
      </c>
      <c r="J177" s="6">
        <v>3486000</v>
      </c>
      <c r="K177" s="6">
        <v>237000</v>
      </c>
      <c r="L177" s="6">
        <v>1345195.384565908</v>
      </c>
      <c r="M177" s="6">
        <v>1198883.1442062478</v>
      </c>
      <c r="N177" s="6">
        <v>863195.8638284984</v>
      </c>
      <c r="O177" s="6">
        <v>335687.28037774935</v>
      </c>
      <c r="P177" s="4">
        <v>1</v>
      </c>
      <c r="Q177" s="4">
        <v>0</v>
      </c>
    </row>
    <row r="178" spans="1:17" x14ac:dyDescent="0.35">
      <c r="A178" t="s">
        <v>56</v>
      </c>
      <c r="B178" s="4">
        <v>2019</v>
      </c>
      <c r="C178" s="4">
        <v>5</v>
      </c>
      <c r="D178" s="4">
        <v>2025</v>
      </c>
      <c r="E178" s="5">
        <v>43649</v>
      </c>
      <c r="F178" s="5">
        <v>43778</v>
      </c>
      <c r="G178" t="s">
        <v>41</v>
      </c>
      <c r="H178" t="s">
        <v>21</v>
      </c>
      <c r="I178" t="s">
        <v>29</v>
      </c>
      <c r="J178" s="6">
        <v>3486000</v>
      </c>
      <c r="K178" s="6">
        <v>237000</v>
      </c>
      <c r="L178" s="6">
        <v>1345195.384565908</v>
      </c>
      <c r="M178" s="6">
        <v>1198883.1442062478</v>
      </c>
      <c r="N178" s="6">
        <v>1198883.1442062478</v>
      </c>
      <c r="O178" s="6">
        <v>0</v>
      </c>
      <c r="P178" s="4">
        <v>1</v>
      </c>
      <c r="Q178" s="4">
        <v>1</v>
      </c>
    </row>
    <row r="179" spans="1:17" x14ac:dyDescent="0.35">
      <c r="A179" t="s">
        <v>56</v>
      </c>
      <c r="B179" s="4">
        <v>2019</v>
      </c>
      <c r="C179" s="4">
        <v>6</v>
      </c>
      <c r="D179" s="4">
        <v>2025</v>
      </c>
      <c r="E179" s="5">
        <v>43649</v>
      </c>
      <c r="F179" s="5">
        <v>43778</v>
      </c>
      <c r="G179" t="s">
        <v>41</v>
      </c>
      <c r="H179" t="s">
        <v>21</v>
      </c>
      <c r="I179" t="s">
        <v>29</v>
      </c>
      <c r="J179" s="6">
        <v>3486000</v>
      </c>
      <c r="K179" s="6">
        <v>237000</v>
      </c>
      <c r="L179" s="6">
        <v>1345195.384565908</v>
      </c>
      <c r="M179" s="6">
        <v>1308440.5916434114</v>
      </c>
      <c r="N179" s="6">
        <v>1308440.5916434114</v>
      </c>
      <c r="O179" s="6">
        <v>0</v>
      </c>
      <c r="P179" s="4">
        <v>1</v>
      </c>
      <c r="Q179" s="4">
        <v>1</v>
      </c>
    </row>
    <row r="180" spans="1:17" x14ac:dyDescent="0.35">
      <c r="A180" t="s">
        <v>57</v>
      </c>
      <c r="B180" s="4">
        <v>2020</v>
      </c>
      <c r="C180" s="4">
        <v>0</v>
      </c>
      <c r="D180" s="4">
        <v>2025</v>
      </c>
      <c r="E180" s="5">
        <v>43968</v>
      </c>
      <c r="F180" s="5">
        <v>44007</v>
      </c>
      <c r="G180" t="s">
        <v>20</v>
      </c>
      <c r="H180" t="s">
        <v>58</v>
      </c>
      <c r="I180" t="s">
        <v>25</v>
      </c>
      <c r="J180" s="6">
        <v>2828000</v>
      </c>
      <c r="K180" s="6">
        <v>20000</v>
      </c>
      <c r="L180" s="6">
        <v>1978561.4398490549</v>
      </c>
      <c r="M180" s="6">
        <v>563964.30694898113</v>
      </c>
      <c r="N180" s="6">
        <v>56396.430694898118</v>
      </c>
      <c r="O180" s="6">
        <v>507567.87625408301</v>
      </c>
      <c r="P180" s="4">
        <v>1</v>
      </c>
      <c r="Q180" s="4">
        <v>0</v>
      </c>
    </row>
    <row r="181" spans="1:17" x14ac:dyDescent="0.35">
      <c r="A181" t="s">
        <v>57</v>
      </c>
      <c r="B181" s="4">
        <v>2020</v>
      </c>
      <c r="C181" s="4">
        <v>1</v>
      </c>
      <c r="D181" s="4">
        <v>2025</v>
      </c>
      <c r="E181" s="5">
        <v>43968</v>
      </c>
      <c r="F181" s="5">
        <v>44007</v>
      </c>
      <c r="G181" t="s">
        <v>20</v>
      </c>
      <c r="H181" t="s">
        <v>58</v>
      </c>
      <c r="I181" t="s">
        <v>25</v>
      </c>
      <c r="J181" s="6">
        <v>2828000</v>
      </c>
      <c r="K181" s="6">
        <v>20000</v>
      </c>
      <c r="L181" s="6">
        <v>1978561.4398490549</v>
      </c>
      <c r="M181" s="6">
        <v>1062443.1108135884</v>
      </c>
      <c r="N181" s="6">
        <v>318732.9332440765</v>
      </c>
      <c r="O181" s="6">
        <v>743710.17756951181</v>
      </c>
      <c r="P181" s="4">
        <v>1</v>
      </c>
      <c r="Q181" s="4">
        <v>0</v>
      </c>
    </row>
    <row r="182" spans="1:17" x14ac:dyDescent="0.35">
      <c r="A182" t="s">
        <v>57</v>
      </c>
      <c r="B182" s="4">
        <v>2020</v>
      </c>
      <c r="C182" s="4">
        <v>2</v>
      </c>
      <c r="D182" s="4">
        <v>2025</v>
      </c>
      <c r="E182" s="5">
        <v>43968</v>
      </c>
      <c r="F182" s="5">
        <v>44007</v>
      </c>
      <c r="G182" t="s">
        <v>20</v>
      </c>
      <c r="H182" t="s">
        <v>58</v>
      </c>
      <c r="I182" t="s">
        <v>25</v>
      </c>
      <c r="J182" s="6">
        <v>2828000</v>
      </c>
      <c r="K182" s="6">
        <v>20000</v>
      </c>
      <c r="L182" s="6">
        <v>1978561.4398490549</v>
      </c>
      <c r="M182" s="6">
        <v>1307297.6429796079</v>
      </c>
      <c r="N182" s="6">
        <v>588283.93934082356</v>
      </c>
      <c r="O182" s="6">
        <v>719013.70363878435</v>
      </c>
      <c r="P182" s="4">
        <v>1</v>
      </c>
      <c r="Q182" s="4">
        <v>0</v>
      </c>
    </row>
    <row r="183" spans="1:17" x14ac:dyDescent="0.35">
      <c r="A183" t="s">
        <v>57</v>
      </c>
      <c r="B183" s="4">
        <v>2020</v>
      </c>
      <c r="C183" s="4">
        <v>3</v>
      </c>
      <c r="D183" s="4">
        <v>2025</v>
      </c>
      <c r="E183" s="5">
        <v>43968</v>
      </c>
      <c r="F183" s="5">
        <v>44007</v>
      </c>
      <c r="G183" t="s">
        <v>20</v>
      </c>
      <c r="H183" t="s">
        <v>58</v>
      </c>
      <c r="I183" t="s">
        <v>25</v>
      </c>
      <c r="J183" s="6">
        <v>2828000</v>
      </c>
      <c r="K183" s="6">
        <v>20000</v>
      </c>
      <c r="L183" s="6">
        <v>1978561.4398490549</v>
      </c>
      <c r="M183" s="6">
        <v>1467511.90777957</v>
      </c>
      <c r="N183" s="6">
        <v>1467511.90777957</v>
      </c>
      <c r="O183" s="6">
        <v>0</v>
      </c>
      <c r="P183" s="4">
        <v>1</v>
      </c>
      <c r="Q183" s="4">
        <v>1</v>
      </c>
    </row>
    <row r="184" spans="1:17" x14ac:dyDescent="0.35">
      <c r="A184" t="s">
        <v>57</v>
      </c>
      <c r="B184" s="4">
        <v>2020</v>
      </c>
      <c r="C184" s="4">
        <v>4</v>
      </c>
      <c r="D184" s="4">
        <v>2025</v>
      </c>
      <c r="E184" s="5">
        <v>43968</v>
      </c>
      <c r="F184" s="5">
        <v>44007</v>
      </c>
      <c r="G184" t="s">
        <v>20</v>
      </c>
      <c r="H184" t="s">
        <v>58</v>
      </c>
      <c r="I184" t="s">
        <v>25</v>
      </c>
      <c r="J184" s="6">
        <v>2828000</v>
      </c>
      <c r="K184" s="6">
        <v>20000</v>
      </c>
      <c r="L184" s="6">
        <v>1978561.4398490549</v>
      </c>
      <c r="M184" s="6">
        <v>1540617.9702457511</v>
      </c>
      <c r="N184" s="6">
        <v>1540617.9702457511</v>
      </c>
      <c r="O184" s="6">
        <v>0</v>
      </c>
      <c r="P184" s="4">
        <v>1</v>
      </c>
      <c r="Q184" s="4">
        <v>1</v>
      </c>
    </row>
    <row r="185" spans="1:17" x14ac:dyDescent="0.35">
      <c r="A185" t="s">
        <v>57</v>
      </c>
      <c r="B185" s="4">
        <v>2020</v>
      </c>
      <c r="C185" s="4">
        <v>5</v>
      </c>
      <c r="D185" s="4">
        <v>2025</v>
      </c>
      <c r="E185" s="5">
        <v>43968</v>
      </c>
      <c r="F185" s="5">
        <v>44007</v>
      </c>
      <c r="G185" t="s">
        <v>20</v>
      </c>
      <c r="H185" t="s">
        <v>58</v>
      </c>
      <c r="I185" t="s">
        <v>25</v>
      </c>
      <c r="J185" s="6">
        <v>2828000</v>
      </c>
      <c r="K185" s="6">
        <v>20000</v>
      </c>
      <c r="L185" s="6">
        <v>1978561.4398490549</v>
      </c>
      <c r="M185" s="6">
        <v>1719082.3632843492</v>
      </c>
      <c r="N185" s="6">
        <v>1719082.3632843492</v>
      </c>
      <c r="O185" s="6">
        <v>0</v>
      </c>
      <c r="P185" s="4">
        <v>1</v>
      </c>
      <c r="Q185" s="4">
        <v>1</v>
      </c>
    </row>
    <row r="186" spans="1:17" x14ac:dyDescent="0.35">
      <c r="A186" t="s">
        <v>59</v>
      </c>
      <c r="B186" s="4">
        <v>2020</v>
      </c>
      <c r="C186" s="4">
        <v>0</v>
      </c>
      <c r="D186" s="4">
        <v>2025</v>
      </c>
      <c r="E186" s="5">
        <v>43879</v>
      </c>
      <c r="F186" s="5">
        <v>44026</v>
      </c>
      <c r="G186" t="s">
        <v>27</v>
      </c>
      <c r="H186" t="s">
        <v>47</v>
      </c>
      <c r="I186" t="s">
        <v>39</v>
      </c>
      <c r="J186" s="6">
        <v>2701000</v>
      </c>
      <c r="K186" s="6">
        <v>9000</v>
      </c>
      <c r="L186" s="6">
        <v>1053443.1687435471</v>
      </c>
      <c r="M186" s="6">
        <v>325102.43728076573</v>
      </c>
      <c r="N186" s="6">
        <v>32510.243728076573</v>
      </c>
      <c r="O186" s="6">
        <v>292592.19355268916</v>
      </c>
      <c r="P186" s="4">
        <v>1</v>
      </c>
      <c r="Q186" s="4">
        <v>0</v>
      </c>
    </row>
    <row r="187" spans="1:17" x14ac:dyDescent="0.35">
      <c r="A187" t="s">
        <v>59</v>
      </c>
      <c r="B187" s="4">
        <v>2020</v>
      </c>
      <c r="C187" s="4">
        <v>1</v>
      </c>
      <c r="D187" s="4">
        <v>2025</v>
      </c>
      <c r="E187" s="5">
        <v>43879</v>
      </c>
      <c r="F187" s="5">
        <v>44026</v>
      </c>
      <c r="G187" t="s">
        <v>27</v>
      </c>
      <c r="H187" t="s">
        <v>47</v>
      </c>
      <c r="I187" t="s">
        <v>39</v>
      </c>
      <c r="J187" s="6">
        <v>2701000</v>
      </c>
      <c r="K187" s="6">
        <v>9000</v>
      </c>
      <c r="L187" s="6">
        <v>1053443.1687435471</v>
      </c>
      <c r="M187" s="6">
        <v>537582.66107237642</v>
      </c>
      <c r="N187" s="6">
        <v>161274.79832171291</v>
      </c>
      <c r="O187" s="6">
        <v>376307.86275066354</v>
      </c>
      <c r="P187" s="4">
        <v>1</v>
      </c>
      <c r="Q187" s="4">
        <v>0</v>
      </c>
    </row>
    <row r="188" spans="1:17" x14ac:dyDescent="0.35">
      <c r="A188" t="s">
        <v>59</v>
      </c>
      <c r="B188" s="4">
        <v>2020</v>
      </c>
      <c r="C188" s="4">
        <v>2</v>
      </c>
      <c r="D188" s="4">
        <v>2025</v>
      </c>
      <c r="E188" s="5">
        <v>43879</v>
      </c>
      <c r="F188" s="5">
        <v>44026</v>
      </c>
      <c r="G188" t="s">
        <v>27</v>
      </c>
      <c r="H188" t="s">
        <v>47</v>
      </c>
      <c r="I188" t="s">
        <v>39</v>
      </c>
      <c r="J188" s="6">
        <v>2701000</v>
      </c>
      <c r="K188" s="6">
        <v>9000</v>
      </c>
      <c r="L188" s="6">
        <v>1053443.1687435471</v>
      </c>
      <c r="M188" s="6">
        <v>696726.16753450397</v>
      </c>
      <c r="N188" s="6">
        <v>313526.7753905268</v>
      </c>
      <c r="O188" s="6">
        <v>383199.39214397717</v>
      </c>
      <c r="P188" s="4">
        <v>1</v>
      </c>
      <c r="Q188" s="4">
        <v>0</v>
      </c>
    </row>
    <row r="189" spans="1:17" x14ac:dyDescent="0.35">
      <c r="A189" t="s">
        <v>59</v>
      </c>
      <c r="B189" s="4">
        <v>2020</v>
      </c>
      <c r="C189" s="4">
        <v>3</v>
      </c>
      <c r="D189" s="4">
        <v>2025</v>
      </c>
      <c r="E189" s="5">
        <v>43879</v>
      </c>
      <c r="F189" s="5">
        <v>44026</v>
      </c>
      <c r="G189" t="s">
        <v>27</v>
      </c>
      <c r="H189" t="s">
        <v>47</v>
      </c>
      <c r="I189" t="s">
        <v>39</v>
      </c>
      <c r="J189" s="6">
        <v>2701000</v>
      </c>
      <c r="K189" s="6">
        <v>9000</v>
      </c>
      <c r="L189" s="6">
        <v>1053443.1687435471</v>
      </c>
      <c r="M189" s="6">
        <v>803789.71676821727</v>
      </c>
      <c r="N189" s="6">
        <v>803789.71676821727</v>
      </c>
      <c r="O189" s="6">
        <v>0</v>
      </c>
      <c r="P189" s="4">
        <v>1</v>
      </c>
      <c r="Q189" s="4">
        <v>1</v>
      </c>
    </row>
    <row r="190" spans="1:17" x14ac:dyDescent="0.35">
      <c r="A190" t="s">
        <v>59</v>
      </c>
      <c r="B190" s="4">
        <v>2020</v>
      </c>
      <c r="C190" s="4">
        <v>4</v>
      </c>
      <c r="D190" s="4">
        <v>2025</v>
      </c>
      <c r="E190" s="5">
        <v>43879</v>
      </c>
      <c r="F190" s="5">
        <v>44026</v>
      </c>
      <c r="G190" t="s">
        <v>27</v>
      </c>
      <c r="H190" t="s">
        <v>47</v>
      </c>
      <c r="I190" t="s">
        <v>39</v>
      </c>
      <c r="J190" s="6">
        <v>2701000</v>
      </c>
      <c r="K190" s="6">
        <v>9000</v>
      </c>
      <c r="L190" s="6">
        <v>1053443.1687435471</v>
      </c>
      <c r="M190" s="6">
        <v>895434.56517090579</v>
      </c>
      <c r="N190" s="6">
        <v>895434.56517090579</v>
      </c>
      <c r="O190" s="6">
        <v>0</v>
      </c>
      <c r="P190" s="4">
        <v>1</v>
      </c>
      <c r="Q190" s="4">
        <v>1</v>
      </c>
    </row>
    <row r="191" spans="1:17" x14ac:dyDescent="0.35">
      <c r="A191" t="s">
        <v>59</v>
      </c>
      <c r="B191" s="4">
        <v>2020</v>
      </c>
      <c r="C191" s="4">
        <v>5</v>
      </c>
      <c r="D191" s="4">
        <v>2025</v>
      </c>
      <c r="E191" s="5">
        <v>43879</v>
      </c>
      <c r="F191" s="5">
        <v>44026</v>
      </c>
      <c r="G191" t="s">
        <v>27</v>
      </c>
      <c r="H191" t="s">
        <v>47</v>
      </c>
      <c r="I191" t="s">
        <v>39</v>
      </c>
      <c r="J191" s="6">
        <v>2701000</v>
      </c>
      <c r="K191" s="6">
        <v>9000</v>
      </c>
      <c r="L191" s="6">
        <v>1053443.1687435471</v>
      </c>
      <c r="M191" s="6">
        <v>947927.33081056934</v>
      </c>
      <c r="N191" s="6">
        <v>947927.33081056934</v>
      </c>
      <c r="O191" s="6">
        <v>0</v>
      </c>
      <c r="P191" s="4">
        <v>1</v>
      </c>
      <c r="Q191" s="4">
        <v>1</v>
      </c>
    </row>
    <row r="192" spans="1:17" x14ac:dyDescent="0.35">
      <c r="A192" t="s">
        <v>60</v>
      </c>
      <c r="B192" s="4">
        <v>2020</v>
      </c>
      <c r="C192" s="4">
        <v>0</v>
      </c>
      <c r="D192" s="4">
        <v>2025</v>
      </c>
      <c r="E192" s="5">
        <v>43968</v>
      </c>
      <c r="F192" s="5">
        <v>44131</v>
      </c>
      <c r="G192" t="s">
        <v>24</v>
      </c>
      <c r="H192" t="s">
        <v>28</v>
      </c>
      <c r="I192" t="s">
        <v>25</v>
      </c>
      <c r="J192" s="6">
        <v>2732000</v>
      </c>
      <c r="K192" s="6">
        <v>187000</v>
      </c>
      <c r="L192" s="6">
        <v>1480565.3582079746</v>
      </c>
      <c r="M192" s="6">
        <v>463175.46670864447</v>
      </c>
      <c r="N192" s="6">
        <v>46317.546670864453</v>
      </c>
      <c r="O192" s="6">
        <v>416857.92003778002</v>
      </c>
      <c r="P192" s="4">
        <v>1</v>
      </c>
      <c r="Q192" s="4">
        <v>0</v>
      </c>
    </row>
    <row r="193" spans="1:17" x14ac:dyDescent="0.35">
      <c r="A193" t="s">
        <v>60</v>
      </c>
      <c r="B193" s="4">
        <v>2020</v>
      </c>
      <c r="C193" s="4">
        <v>1</v>
      </c>
      <c r="D193" s="4">
        <v>2025</v>
      </c>
      <c r="E193" s="5">
        <v>43968</v>
      </c>
      <c r="F193" s="5">
        <v>44131</v>
      </c>
      <c r="G193" t="s">
        <v>24</v>
      </c>
      <c r="H193" t="s">
        <v>28</v>
      </c>
      <c r="I193" t="s">
        <v>25</v>
      </c>
      <c r="J193" s="6">
        <v>2732000</v>
      </c>
      <c r="K193" s="6">
        <v>187000</v>
      </c>
      <c r="L193" s="6">
        <v>1480565.3582079746</v>
      </c>
      <c r="M193" s="6">
        <v>754932.11673396453</v>
      </c>
      <c r="N193" s="6">
        <v>226479.63502018937</v>
      </c>
      <c r="O193" s="6">
        <v>528452.4817137752</v>
      </c>
      <c r="P193" s="4">
        <v>1</v>
      </c>
      <c r="Q193" s="4">
        <v>0</v>
      </c>
    </row>
    <row r="194" spans="1:17" x14ac:dyDescent="0.35">
      <c r="A194" t="s">
        <v>60</v>
      </c>
      <c r="B194" s="4">
        <v>2020</v>
      </c>
      <c r="C194" s="4">
        <v>2</v>
      </c>
      <c r="D194" s="4">
        <v>2025</v>
      </c>
      <c r="E194" s="5">
        <v>43968</v>
      </c>
      <c r="F194" s="5">
        <v>44131</v>
      </c>
      <c r="G194" t="s">
        <v>24</v>
      </c>
      <c r="H194" t="s">
        <v>28</v>
      </c>
      <c r="I194" t="s">
        <v>25</v>
      </c>
      <c r="J194" s="6">
        <v>2732000</v>
      </c>
      <c r="K194" s="6">
        <v>187000</v>
      </c>
      <c r="L194" s="6">
        <v>1480565.3582079746</v>
      </c>
      <c r="M194" s="6">
        <v>923555.00077842548</v>
      </c>
      <c r="N194" s="6">
        <v>923555.00077842548</v>
      </c>
      <c r="O194" s="6">
        <v>0</v>
      </c>
      <c r="P194" s="4">
        <v>1</v>
      </c>
      <c r="Q194" s="4">
        <v>1</v>
      </c>
    </row>
    <row r="195" spans="1:17" x14ac:dyDescent="0.35">
      <c r="A195" t="s">
        <v>60</v>
      </c>
      <c r="B195" s="4">
        <v>2020</v>
      </c>
      <c r="C195" s="4">
        <v>3</v>
      </c>
      <c r="D195" s="4">
        <v>2025</v>
      </c>
      <c r="E195" s="5">
        <v>43968</v>
      </c>
      <c r="F195" s="5">
        <v>44131</v>
      </c>
      <c r="G195" t="s">
        <v>24</v>
      </c>
      <c r="H195" t="s">
        <v>28</v>
      </c>
      <c r="I195" t="s">
        <v>25</v>
      </c>
      <c r="J195" s="6">
        <v>2732000</v>
      </c>
      <c r="K195" s="6">
        <v>187000</v>
      </c>
      <c r="L195" s="6">
        <v>1480565.3582079746</v>
      </c>
      <c r="M195" s="6">
        <v>1112605.6700035152</v>
      </c>
      <c r="N195" s="6">
        <v>1112605.6700035152</v>
      </c>
      <c r="O195" s="6">
        <v>0</v>
      </c>
      <c r="P195" s="4">
        <v>1</v>
      </c>
      <c r="Q195" s="4">
        <v>1</v>
      </c>
    </row>
    <row r="196" spans="1:17" x14ac:dyDescent="0.35">
      <c r="A196" t="s">
        <v>60</v>
      </c>
      <c r="B196" s="4">
        <v>2020</v>
      </c>
      <c r="C196" s="4">
        <v>4</v>
      </c>
      <c r="D196" s="4">
        <v>2025</v>
      </c>
      <c r="E196" s="5">
        <v>43968</v>
      </c>
      <c r="F196" s="5">
        <v>44131</v>
      </c>
      <c r="G196" t="s">
        <v>24</v>
      </c>
      <c r="H196" t="s">
        <v>28</v>
      </c>
      <c r="I196" t="s">
        <v>25</v>
      </c>
      <c r="J196" s="6">
        <v>2732000</v>
      </c>
      <c r="K196" s="6">
        <v>187000</v>
      </c>
      <c r="L196" s="6">
        <v>1480565.3582079746</v>
      </c>
      <c r="M196" s="6">
        <v>1170037.5054346854</v>
      </c>
      <c r="N196" s="6">
        <v>1170037.5054346854</v>
      </c>
      <c r="O196" s="6">
        <v>0</v>
      </c>
      <c r="P196" s="4">
        <v>1</v>
      </c>
      <c r="Q196" s="4">
        <v>1</v>
      </c>
    </row>
    <row r="197" spans="1:17" x14ac:dyDescent="0.35">
      <c r="A197" t="s">
        <v>60</v>
      </c>
      <c r="B197" s="4">
        <v>2020</v>
      </c>
      <c r="C197" s="4">
        <v>5</v>
      </c>
      <c r="D197" s="4">
        <v>2025</v>
      </c>
      <c r="E197" s="5">
        <v>43968</v>
      </c>
      <c r="F197" s="5">
        <v>44131</v>
      </c>
      <c r="G197" t="s">
        <v>24</v>
      </c>
      <c r="H197" t="s">
        <v>28</v>
      </c>
      <c r="I197" t="s">
        <v>25</v>
      </c>
      <c r="J197" s="6">
        <v>2732000</v>
      </c>
      <c r="K197" s="6">
        <v>187000</v>
      </c>
      <c r="L197" s="6">
        <v>1480565.3582079746</v>
      </c>
      <c r="M197" s="6">
        <v>1374077.0092663164</v>
      </c>
      <c r="N197" s="6">
        <v>1374077.0092663164</v>
      </c>
      <c r="O197" s="6">
        <v>0</v>
      </c>
      <c r="P197" s="4">
        <v>1</v>
      </c>
      <c r="Q197" s="4">
        <v>1</v>
      </c>
    </row>
    <row r="198" spans="1:17" x14ac:dyDescent="0.35">
      <c r="A198" t="s">
        <v>61</v>
      </c>
      <c r="B198" s="4">
        <v>2020</v>
      </c>
      <c r="C198" s="4">
        <v>0</v>
      </c>
      <c r="D198" s="4">
        <v>2025</v>
      </c>
      <c r="E198" s="5">
        <v>43954</v>
      </c>
      <c r="F198" s="5">
        <v>44070</v>
      </c>
      <c r="G198" t="s">
        <v>36</v>
      </c>
      <c r="H198" t="s">
        <v>28</v>
      </c>
      <c r="I198" t="s">
        <v>62</v>
      </c>
      <c r="J198" s="6">
        <v>3919000</v>
      </c>
      <c r="K198" s="6">
        <v>73000</v>
      </c>
      <c r="L198" s="6">
        <v>3146911.230116318</v>
      </c>
      <c r="M198" s="6">
        <v>902199.57507680357</v>
      </c>
      <c r="N198" s="6">
        <v>90219.957507680359</v>
      </c>
      <c r="O198" s="6">
        <v>811979.61756912316</v>
      </c>
      <c r="P198" s="4">
        <v>1</v>
      </c>
      <c r="Q198" s="4">
        <v>0</v>
      </c>
    </row>
    <row r="199" spans="1:17" x14ac:dyDescent="0.35">
      <c r="A199" t="s">
        <v>61</v>
      </c>
      <c r="B199" s="4">
        <v>2020</v>
      </c>
      <c r="C199" s="4">
        <v>1</v>
      </c>
      <c r="D199" s="4">
        <v>2025</v>
      </c>
      <c r="E199" s="5">
        <v>43954</v>
      </c>
      <c r="F199" s="5">
        <v>44070</v>
      </c>
      <c r="G199" t="s">
        <v>36</v>
      </c>
      <c r="H199" t="s">
        <v>28</v>
      </c>
      <c r="I199" t="s">
        <v>62</v>
      </c>
      <c r="J199" s="6">
        <v>3919000</v>
      </c>
      <c r="K199" s="6">
        <v>73000</v>
      </c>
      <c r="L199" s="6">
        <v>3146911.230116318</v>
      </c>
      <c r="M199" s="6">
        <v>1653919.9771940173</v>
      </c>
      <c r="N199" s="6">
        <v>496175.99315820518</v>
      </c>
      <c r="O199" s="6">
        <v>1157743.9840358121</v>
      </c>
      <c r="P199" s="4">
        <v>1</v>
      </c>
      <c r="Q199" s="4">
        <v>0</v>
      </c>
    </row>
    <row r="200" spans="1:17" x14ac:dyDescent="0.35">
      <c r="A200" t="s">
        <v>61</v>
      </c>
      <c r="B200" s="4">
        <v>2020</v>
      </c>
      <c r="C200" s="4">
        <v>2</v>
      </c>
      <c r="D200" s="4">
        <v>2025</v>
      </c>
      <c r="E200" s="5">
        <v>43954</v>
      </c>
      <c r="F200" s="5">
        <v>44070</v>
      </c>
      <c r="G200" t="s">
        <v>36</v>
      </c>
      <c r="H200" t="s">
        <v>28</v>
      </c>
      <c r="I200" t="s">
        <v>62</v>
      </c>
      <c r="J200" s="6">
        <v>3919000</v>
      </c>
      <c r="K200" s="6">
        <v>73000</v>
      </c>
      <c r="L200" s="6">
        <v>3146911.230116318</v>
      </c>
      <c r="M200" s="6">
        <v>1977398.0462072373</v>
      </c>
      <c r="N200" s="6">
        <v>889829.12079325679</v>
      </c>
      <c r="O200" s="6">
        <v>1087568.9254139806</v>
      </c>
      <c r="P200" s="4">
        <v>1</v>
      </c>
      <c r="Q200" s="4">
        <v>0</v>
      </c>
    </row>
    <row r="201" spans="1:17" x14ac:dyDescent="0.35">
      <c r="A201" t="s">
        <v>61</v>
      </c>
      <c r="B201" s="4">
        <v>2020</v>
      </c>
      <c r="C201" s="4">
        <v>3</v>
      </c>
      <c r="D201" s="4">
        <v>2025</v>
      </c>
      <c r="E201" s="5">
        <v>43954</v>
      </c>
      <c r="F201" s="5">
        <v>44070</v>
      </c>
      <c r="G201" t="s">
        <v>36</v>
      </c>
      <c r="H201" t="s">
        <v>28</v>
      </c>
      <c r="I201" t="s">
        <v>62</v>
      </c>
      <c r="J201" s="6">
        <v>3919000</v>
      </c>
      <c r="K201" s="6">
        <v>73000</v>
      </c>
      <c r="L201" s="6">
        <v>3146911.230116318</v>
      </c>
      <c r="M201" s="6">
        <v>2465061.4237571959</v>
      </c>
      <c r="N201" s="6">
        <v>1479036.8542543175</v>
      </c>
      <c r="O201" s="6">
        <v>986024.56950287847</v>
      </c>
      <c r="P201" s="4">
        <v>1</v>
      </c>
      <c r="Q201" s="4">
        <v>0</v>
      </c>
    </row>
    <row r="202" spans="1:17" x14ac:dyDescent="0.35">
      <c r="A202" t="s">
        <v>61</v>
      </c>
      <c r="B202" s="4">
        <v>2020</v>
      </c>
      <c r="C202" s="4">
        <v>4</v>
      </c>
      <c r="D202" s="4">
        <v>2025</v>
      </c>
      <c r="E202" s="5">
        <v>43954</v>
      </c>
      <c r="F202" s="5">
        <v>44070</v>
      </c>
      <c r="G202" t="s">
        <v>36</v>
      </c>
      <c r="H202" t="s">
        <v>28</v>
      </c>
      <c r="I202" t="s">
        <v>62</v>
      </c>
      <c r="J202" s="6">
        <v>3919000</v>
      </c>
      <c r="K202" s="6">
        <v>73000</v>
      </c>
      <c r="L202" s="6">
        <v>3146911.230116318</v>
      </c>
      <c r="M202" s="6">
        <v>2465061.4237571959</v>
      </c>
      <c r="N202" s="6">
        <v>1774844.2251051811</v>
      </c>
      <c r="O202" s="6">
        <v>690217.19865201483</v>
      </c>
      <c r="P202" s="4">
        <v>1</v>
      </c>
      <c r="Q202" s="4">
        <v>0</v>
      </c>
    </row>
    <row r="203" spans="1:17" x14ac:dyDescent="0.35">
      <c r="A203" t="s">
        <v>61</v>
      </c>
      <c r="B203" s="4">
        <v>2020</v>
      </c>
      <c r="C203" s="4">
        <v>5</v>
      </c>
      <c r="D203" s="4">
        <v>2025</v>
      </c>
      <c r="E203" s="5">
        <v>43954</v>
      </c>
      <c r="F203" s="5">
        <v>44070</v>
      </c>
      <c r="G203" t="s">
        <v>36</v>
      </c>
      <c r="H203" t="s">
        <v>28</v>
      </c>
      <c r="I203" t="s">
        <v>62</v>
      </c>
      <c r="J203" s="6">
        <v>3919000</v>
      </c>
      <c r="K203" s="6">
        <v>73000</v>
      </c>
      <c r="L203" s="6">
        <v>3146911.230116318</v>
      </c>
      <c r="M203" s="6">
        <v>3044179.7828199295</v>
      </c>
      <c r="N203" s="6">
        <v>2496227.4219123418</v>
      </c>
      <c r="O203" s="6">
        <v>547952.36090758769</v>
      </c>
      <c r="P203" s="4">
        <v>1</v>
      </c>
      <c r="Q203" s="4">
        <v>0</v>
      </c>
    </row>
    <row r="204" spans="1:17" x14ac:dyDescent="0.35">
      <c r="A204" t="s">
        <v>63</v>
      </c>
      <c r="B204" s="4">
        <v>2020</v>
      </c>
      <c r="C204" s="4">
        <v>0</v>
      </c>
      <c r="D204" s="4">
        <v>2025</v>
      </c>
      <c r="E204" s="5">
        <v>44014</v>
      </c>
      <c r="F204" s="5">
        <v>44136</v>
      </c>
      <c r="G204" t="s">
        <v>24</v>
      </c>
      <c r="H204" t="s">
        <v>47</v>
      </c>
      <c r="I204" t="s">
        <v>39</v>
      </c>
      <c r="J204" s="6">
        <v>5811000</v>
      </c>
      <c r="K204" s="6">
        <v>61000</v>
      </c>
      <c r="L204" s="6">
        <v>2354951.428074026</v>
      </c>
      <c r="M204" s="6">
        <v>685902.20680795622</v>
      </c>
      <c r="N204" s="6">
        <v>68590.220680795625</v>
      </c>
      <c r="O204" s="6">
        <v>617311.98612716061</v>
      </c>
      <c r="P204" s="4">
        <v>1</v>
      </c>
      <c r="Q204" s="4">
        <v>0</v>
      </c>
    </row>
    <row r="205" spans="1:17" x14ac:dyDescent="0.35">
      <c r="A205" t="s">
        <v>63</v>
      </c>
      <c r="B205" s="4">
        <v>2020</v>
      </c>
      <c r="C205" s="4">
        <v>1</v>
      </c>
      <c r="D205" s="4">
        <v>2025</v>
      </c>
      <c r="E205" s="5">
        <v>44014</v>
      </c>
      <c r="F205" s="5">
        <v>44136</v>
      </c>
      <c r="G205" t="s">
        <v>24</v>
      </c>
      <c r="H205" t="s">
        <v>47</v>
      </c>
      <c r="I205" t="s">
        <v>39</v>
      </c>
      <c r="J205" s="6">
        <v>5811000</v>
      </c>
      <c r="K205" s="6">
        <v>61000</v>
      </c>
      <c r="L205" s="6">
        <v>2354951.428074026</v>
      </c>
      <c r="M205" s="6">
        <v>1177749.7607219941</v>
      </c>
      <c r="N205" s="6">
        <v>353324.92821659823</v>
      </c>
      <c r="O205" s="6">
        <v>824424.83250539587</v>
      </c>
      <c r="P205" s="4">
        <v>1</v>
      </c>
      <c r="Q205" s="4">
        <v>0</v>
      </c>
    </row>
    <row r="206" spans="1:17" x14ac:dyDescent="0.35">
      <c r="A206" t="s">
        <v>63</v>
      </c>
      <c r="B206" s="4">
        <v>2020</v>
      </c>
      <c r="C206" s="4">
        <v>2</v>
      </c>
      <c r="D206" s="4">
        <v>2025</v>
      </c>
      <c r="E206" s="5">
        <v>44014</v>
      </c>
      <c r="F206" s="5">
        <v>44136</v>
      </c>
      <c r="G206" t="s">
        <v>24</v>
      </c>
      <c r="H206" t="s">
        <v>47</v>
      </c>
      <c r="I206" t="s">
        <v>39</v>
      </c>
      <c r="J206" s="6">
        <v>5811000</v>
      </c>
      <c r="K206" s="6">
        <v>61000</v>
      </c>
      <c r="L206" s="6">
        <v>2354951.428074026</v>
      </c>
      <c r="M206" s="6">
        <v>1499219.6773697794</v>
      </c>
      <c r="N206" s="6">
        <v>674648.8548164008</v>
      </c>
      <c r="O206" s="6">
        <v>824570.82255337865</v>
      </c>
      <c r="P206" s="4">
        <v>1</v>
      </c>
      <c r="Q206" s="4">
        <v>0</v>
      </c>
    </row>
    <row r="207" spans="1:17" x14ac:dyDescent="0.35">
      <c r="A207" t="s">
        <v>63</v>
      </c>
      <c r="B207" s="4">
        <v>2020</v>
      </c>
      <c r="C207" s="4">
        <v>3</v>
      </c>
      <c r="D207" s="4">
        <v>2025</v>
      </c>
      <c r="E207" s="5">
        <v>44014</v>
      </c>
      <c r="F207" s="5">
        <v>44136</v>
      </c>
      <c r="G207" t="s">
        <v>24</v>
      </c>
      <c r="H207" t="s">
        <v>47</v>
      </c>
      <c r="I207" t="s">
        <v>39</v>
      </c>
      <c r="J207" s="6">
        <v>5811000</v>
      </c>
      <c r="K207" s="6">
        <v>61000</v>
      </c>
      <c r="L207" s="6">
        <v>2354951.428074026</v>
      </c>
      <c r="M207" s="6">
        <v>1749426.3179517691</v>
      </c>
      <c r="N207" s="6">
        <v>1049655.7907710613</v>
      </c>
      <c r="O207" s="6">
        <v>699770.52718070778</v>
      </c>
      <c r="P207" s="4">
        <v>1</v>
      </c>
      <c r="Q207" s="4">
        <v>0</v>
      </c>
    </row>
    <row r="208" spans="1:17" x14ac:dyDescent="0.35">
      <c r="A208" t="s">
        <v>63</v>
      </c>
      <c r="B208" s="4">
        <v>2020</v>
      </c>
      <c r="C208" s="4">
        <v>4</v>
      </c>
      <c r="D208" s="4">
        <v>2025</v>
      </c>
      <c r="E208" s="5">
        <v>44014</v>
      </c>
      <c r="F208" s="5">
        <v>44136</v>
      </c>
      <c r="G208" t="s">
        <v>24</v>
      </c>
      <c r="H208" t="s">
        <v>47</v>
      </c>
      <c r="I208" t="s">
        <v>39</v>
      </c>
      <c r="J208" s="6">
        <v>5811000</v>
      </c>
      <c r="K208" s="6">
        <v>61000</v>
      </c>
      <c r="L208" s="6">
        <v>2354951.428074026</v>
      </c>
      <c r="M208" s="6">
        <v>1940912.8965513243</v>
      </c>
      <c r="N208" s="6">
        <v>1397457.2855169533</v>
      </c>
      <c r="O208" s="6">
        <v>543455.61103437096</v>
      </c>
      <c r="P208" s="4">
        <v>1</v>
      </c>
      <c r="Q208" s="4">
        <v>0</v>
      </c>
    </row>
    <row r="209" spans="1:17" x14ac:dyDescent="0.35">
      <c r="A209" t="s">
        <v>63</v>
      </c>
      <c r="B209" s="4">
        <v>2020</v>
      </c>
      <c r="C209" s="4">
        <v>5</v>
      </c>
      <c r="D209" s="4">
        <v>2025</v>
      </c>
      <c r="E209" s="5">
        <v>44014</v>
      </c>
      <c r="F209" s="5">
        <v>44136</v>
      </c>
      <c r="G209" t="s">
        <v>24</v>
      </c>
      <c r="H209" t="s">
        <v>47</v>
      </c>
      <c r="I209" t="s">
        <v>39</v>
      </c>
      <c r="J209" s="6">
        <v>5811000</v>
      </c>
      <c r="K209" s="6">
        <v>61000</v>
      </c>
      <c r="L209" s="6">
        <v>2354951.428074026</v>
      </c>
      <c r="M209" s="6">
        <v>2214419.4064085442</v>
      </c>
      <c r="N209" s="6">
        <v>1815823.9132550061</v>
      </c>
      <c r="O209" s="6">
        <v>398595.49315353809</v>
      </c>
      <c r="P209" s="4">
        <v>1</v>
      </c>
      <c r="Q209" s="4">
        <v>0</v>
      </c>
    </row>
    <row r="210" spans="1:17" x14ac:dyDescent="0.35">
      <c r="A210" t="s">
        <v>64</v>
      </c>
      <c r="B210" s="4">
        <v>2020</v>
      </c>
      <c r="C210" s="4">
        <v>0</v>
      </c>
      <c r="D210" s="4">
        <v>2025</v>
      </c>
      <c r="E210" s="5">
        <v>44029</v>
      </c>
      <c r="F210" s="5">
        <v>44188</v>
      </c>
      <c r="G210" t="s">
        <v>24</v>
      </c>
      <c r="H210" t="s">
        <v>28</v>
      </c>
      <c r="I210" t="s">
        <v>22</v>
      </c>
      <c r="J210" s="6">
        <v>1634000</v>
      </c>
      <c r="K210" s="6">
        <v>198000</v>
      </c>
      <c r="L210" s="6">
        <v>843033.62141226709</v>
      </c>
      <c r="M210" s="6">
        <v>253354.65159481313</v>
      </c>
      <c r="N210" s="6">
        <v>25335.465159481315</v>
      </c>
      <c r="O210" s="6">
        <v>228019.18643533182</v>
      </c>
      <c r="P210" s="4">
        <v>1</v>
      </c>
      <c r="Q210" s="4">
        <v>0</v>
      </c>
    </row>
    <row r="211" spans="1:17" x14ac:dyDescent="0.35">
      <c r="A211" t="s">
        <v>64</v>
      </c>
      <c r="B211" s="4">
        <v>2020</v>
      </c>
      <c r="C211" s="4">
        <v>1</v>
      </c>
      <c r="D211" s="4">
        <v>2025</v>
      </c>
      <c r="E211" s="5">
        <v>44029</v>
      </c>
      <c r="F211" s="5">
        <v>44188</v>
      </c>
      <c r="G211" t="s">
        <v>24</v>
      </c>
      <c r="H211" t="s">
        <v>28</v>
      </c>
      <c r="I211" t="s">
        <v>22</v>
      </c>
      <c r="J211" s="6">
        <v>1634000</v>
      </c>
      <c r="K211" s="6">
        <v>198000</v>
      </c>
      <c r="L211" s="6">
        <v>843033.62141226709</v>
      </c>
      <c r="M211" s="6">
        <v>416594.24852097</v>
      </c>
      <c r="N211" s="6">
        <v>124978.274556291</v>
      </c>
      <c r="O211" s="6">
        <v>291615.973964679</v>
      </c>
      <c r="P211" s="4">
        <v>1</v>
      </c>
      <c r="Q211" s="4">
        <v>0</v>
      </c>
    </row>
    <row r="212" spans="1:17" x14ac:dyDescent="0.35">
      <c r="A212" t="s">
        <v>64</v>
      </c>
      <c r="B212" s="4">
        <v>2020</v>
      </c>
      <c r="C212" s="4">
        <v>2</v>
      </c>
      <c r="D212" s="4">
        <v>2025</v>
      </c>
      <c r="E212" s="5">
        <v>44029</v>
      </c>
      <c r="F212" s="5">
        <v>44188</v>
      </c>
      <c r="G212" t="s">
        <v>24</v>
      </c>
      <c r="H212" t="s">
        <v>28</v>
      </c>
      <c r="I212" t="s">
        <v>22</v>
      </c>
      <c r="J212" s="6">
        <v>1634000</v>
      </c>
      <c r="K212" s="6">
        <v>198000</v>
      </c>
      <c r="L212" s="6">
        <v>843033.62141226709</v>
      </c>
      <c r="M212" s="6">
        <v>556517.65418309066</v>
      </c>
      <c r="N212" s="6">
        <v>250432.94438239079</v>
      </c>
      <c r="O212" s="6">
        <v>306084.70980069984</v>
      </c>
      <c r="P212" s="4">
        <v>1</v>
      </c>
      <c r="Q212" s="4">
        <v>0</v>
      </c>
    </row>
    <row r="213" spans="1:17" x14ac:dyDescent="0.35">
      <c r="A213" t="s">
        <v>64</v>
      </c>
      <c r="B213" s="4">
        <v>2020</v>
      </c>
      <c r="C213" s="4">
        <v>3</v>
      </c>
      <c r="D213" s="4">
        <v>2025</v>
      </c>
      <c r="E213" s="5">
        <v>44029</v>
      </c>
      <c r="F213" s="5">
        <v>44188</v>
      </c>
      <c r="G213" t="s">
        <v>24</v>
      </c>
      <c r="H213" t="s">
        <v>28</v>
      </c>
      <c r="I213" t="s">
        <v>22</v>
      </c>
      <c r="J213" s="6">
        <v>1634000</v>
      </c>
      <c r="K213" s="6">
        <v>198000</v>
      </c>
      <c r="L213" s="6">
        <v>843033.62141226709</v>
      </c>
      <c r="M213" s="6">
        <v>638839.84845515725</v>
      </c>
      <c r="N213" s="6">
        <v>383303.90907309431</v>
      </c>
      <c r="O213" s="6">
        <v>255535.93938206293</v>
      </c>
      <c r="P213" s="4">
        <v>1</v>
      </c>
      <c r="Q213" s="4">
        <v>0</v>
      </c>
    </row>
    <row r="214" spans="1:17" x14ac:dyDescent="0.35">
      <c r="A214" t="s">
        <v>64</v>
      </c>
      <c r="B214" s="4">
        <v>2020</v>
      </c>
      <c r="C214" s="4">
        <v>4</v>
      </c>
      <c r="D214" s="4">
        <v>2025</v>
      </c>
      <c r="E214" s="5">
        <v>44029</v>
      </c>
      <c r="F214" s="5">
        <v>44188</v>
      </c>
      <c r="G214" t="s">
        <v>24</v>
      </c>
      <c r="H214" t="s">
        <v>28</v>
      </c>
      <c r="I214" t="s">
        <v>22</v>
      </c>
      <c r="J214" s="6">
        <v>1634000</v>
      </c>
      <c r="K214" s="6">
        <v>198000</v>
      </c>
      <c r="L214" s="6">
        <v>843033.62141226709</v>
      </c>
      <c r="M214" s="6">
        <v>640787.78120253922</v>
      </c>
      <c r="N214" s="6">
        <v>640787.78120253922</v>
      </c>
      <c r="O214" s="6">
        <v>0</v>
      </c>
      <c r="P214" s="4">
        <v>1</v>
      </c>
      <c r="Q214" s="4">
        <v>1</v>
      </c>
    </row>
    <row r="215" spans="1:17" x14ac:dyDescent="0.35">
      <c r="A215" t="s">
        <v>64</v>
      </c>
      <c r="B215" s="4">
        <v>2020</v>
      </c>
      <c r="C215" s="4">
        <v>5</v>
      </c>
      <c r="D215" s="4">
        <v>2025</v>
      </c>
      <c r="E215" s="5">
        <v>44029</v>
      </c>
      <c r="F215" s="5">
        <v>44188</v>
      </c>
      <c r="G215" t="s">
        <v>24</v>
      </c>
      <c r="H215" t="s">
        <v>28</v>
      </c>
      <c r="I215" t="s">
        <v>22</v>
      </c>
      <c r="J215" s="6">
        <v>1634000</v>
      </c>
      <c r="K215" s="6">
        <v>198000</v>
      </c>
      <c r="L215" s="6">
        <v>843033.62141226709</v>
      </c>
      <c r="M215" s="6">
        <v>749960.99193463847</v>
      </c>
      <c r="N215" s="6">
        <v>749960.99193463847</v>
      </c>
      <c r="O215" s="6">
        <v>0</v>
      </c>
      <c r="P215" s="4">
        <v>1</v>
      </c>
      <c r="Q215" s="4">
        <v>1</v>
      </c>
    </row>
    <row r="216" spans="1:17" x14ac:dyDescent="0.35">
      <c r="A216" t="s">
        <v>65</v>
      </c>
      <c r="B216" s="4">
        <v>2020</v>
      </c>
      <c r="C216" s="4">
        <v>0</v>
      </c>
      <c r="D216" s="4">
        <v>2025</v>
      </c>
      <c r="E216" s="5">
        <v>44188</v>
      </c>
      <c r="F216" s="5">
        <v>44229</v>
      </c>
      <c r="G216" t="s">
        <v>24</v>
      </c>
      <c r="H216" t="s">
        <v>34</v>
      </c>
      <c r="I216" t="s">
        <v>25</v>
      </c>
      <c r="J216" s="6">
        <v>1688000</v>
      </c>
      <c r="K216" s="6">
        <v>26000</v>
      </c>
      <c r="L216" s="6">
        <v>1095365.7460137869</v>
      </c>
      <c r="M216" s="6">
        <v>341762.01419372781</v>
      </c>
      <c r="N216" s="6">
        <v>34176.201419372781</v>
      </c>
      <c r="O216" s="6">
        <v>307585.81277435506</v>
      </c>
      <c r="P216" s="4">
        <v>1</v>
      </c>
      <c r="Q216" s="4">
        <v>0</v>
      </c>
    </row>
    <row r="217" spans="1:17" x14ac:dyDescent="0.35">
      <c r="A217" t="s">
        <v>65</v>
      </c>
      <c r="B217" s="4">
        <v>2020</v>
      </c>
      <c r="C217" s="4">
        <v>1</v>
      </c>
      <c r="D217" s="4">
        <v>2025</v>
      </c>
      <c r="E217" s="5">
        <v>44188</v>
      </c>
      <c r="F217" s="5">
        <v>44229</v>
      </c>
      <c r="G217" t="s">
        <v>24</v>
      </c>
      <c r="H217" t="s">
        <v>34</v>
      </c>
      <c r="I217" t="s">
        <v>25</v>
      </c>
      <c r="J217" s="6">
        <v>1688000</v>
      </c>
      <c r="K217" s="6">
        <v>26000</v>
      </c>
      <c r="L217" s="6">
        <v>1095365.7460137869</v>
      </c>
      <c r="M217" s="6">
        <v>583358.7010657232</v>
      </c>
      <c r="N217" s="6">
        <v>175007.61031971694</v>
      </c>
      <c r="O217" s="6">
        <v>408351.09074600623</v>
      </c>
      <c r="P217" s="4">
        <v>1</v>
      </c>
      <c r="Q217" s="4">
        <v>0</v>
      </c>
    </row>
    <row r="218" spans="1:17" x14ac:dyDescent="0.35">
      <c r="A218" t="s">
        <v>65</v>
      </c>
      <c r="B218" s="4">
        <v>2020</v>
      </c>
      <c r="C218" s="4">
        <v>2</v>
      </c>
      <c r="D218" s="4">
        <v>2025</v>
      </c>
      <c r="E218" s="5">
        <v>44188</v>
      </c>
      <c r="F218" s="5">
        <v>44229</v>
      </c>
      <c r="G218" t="s">
        <v>24</v>
      </c>
      <c r="H218" t="s">
        <v>34</v>
      </c>
      <c r="I218" t="s">
        <v>25</v>
      </c>
      <c r="J218" s="6">
        <v>1688000</v>
      </c>
      <c r="K218" s="6">
        <v>26000</v>
      </c>
      <c r="L218" s="6">
        <v>1095365.7460137869</v>
      </c>
      <c r="M218" s="6">
        <v>688798.11679134448</v>
      </c>
      <c r="N218" s="6">
        <v>309959.15255610505</v>
      </c>
      <c r="O218" s="6">
        <v>378838.96423523943</v>
      </c>
      <c r="P218" s="4">
        <v>1</v>
      </c>
      <c r="Q218" s="4">
        <v>0</v>
      </c>
    </row>
    <row r="219" spans="1:17" x14ac:dyDescent="0.35">
      <c r="A219" t="s">
        <v>65</v>
      </c>
      <c r="B219" s="4">
        <v>2020</v>
      </c>
      <c r="C219" s="4">
        <v>3</v>
      </c>
      <c r="D219" s="4">
        <v>2025</v>
      </c>
      <c r="E219" s="5">
        <v>44188</v>
      </c>
      <c r="F219" s="5">
        <v>44229</v>
      </c>
      <c r="G219" t="s">
        <v>24</v>
      </c>
      <c r="H219" t="s">
        <v>34</v>
      </c>
      <c r="I219" t="s">
        <v>25</v>
      </c>
      <c r="J219" s="6">
        <v>1688000</v>
      </c>
      <c r="K219" s="6">
        <v>26000</v>
      </c>
      <c r="L219" s="6">
        <v>1095365.7460137869</v>
      </c>
      <c r="M219" s="6">
        <v>835096.3831372743</v>
      </c>
      <c r="N219" s="6">
        <v>501057.82988236455</v>
      </c>
      <c r="O219" s="6">
        <v>334038.55325490976</v>
      </c>
      <c r="P219" s="4">
        <v>1</v>
      </c>
      <c r="Q219" s="4">
        <v>0</v>
      </c>
    </row>
    <row r="220" spans="1:17" x14ac:dyDescent="0.35">
      <c r="A220" t="s">
        <v>65</v>
      </c>
      <c r="B220" s="4">
        <v>2020</v>
      </c>
      <c r="C220" s="4">
        <v>4</v>
      </c>
      <c r="D220" s="4">
        <v>2025</v>
      </c>
      <c r="E220" s="5">
        <v>44188</v>
      </c>
      <c r="F220" s="5">
        <v>44229</v>
      </c>
      <c r="G220" t="s">
        <v>24</v>
      </c>
      <c r="H220" t="s">
        <v>34</v>
      </c>
      <c r="I220" t="s">
        <v>25</v>
      </c>
      <c r="J220" s="6">
        <v>1688000</v>
      </c>
      <c r="K220" s="6">
        <v>26000</v>
      </c>
      <c r="L220" s="6">
        <v>1095365.7460137869</v>
      </c>
      <c r="M220" s="6">
        <v>903042.44979204412</v>
      </c>
      <c r="N220" s="6">
        <v>650190.56385027175</v>
      </c>
      <c r="O220" s="6">
        <v>252851.88594177237</v>
      </c>
      <c r="P220" s="4">
        <v>1</v>
      </c>
      <c r="Q220" s="4">
        <v>0</v>
      </c>
    </row>
    <row r="221" spans="1:17" x14ac:dyDescent="0.35">
      <c r="A221" t="s">
        <v>65</v>
      </c>
      <c r="B221" s="4">
        <v>2020</v>
      </c>
      <c r="C221" s="4">
        <v>5</v>
      </c>
      <c r="D221" s="4">
        <v>2025</v>
      </c>
      <c r="E221" s="5">
        <v>44188</v>
      </c>
      <c r="F221" s="5">
        <v>44229</v>
      </c>
      <c r="G221" t="s">
        <v>24</v>
      </c>
      <c r="H221" t="s">
        <v>34</v>
      </c>
      <c r="I221" t="s">
        <v>25</v>
      </c>
      <c r="J221" s="6">
        <v>1688000</v>
      </c>
      <c r="K221" s="6">
        <v>26000</v>
      </c>
      <c r="L221" s="6">
        <v>1095365.7460137869</v>
      </c>
      <c r="M221" s="6">
        <v>950072.51094412769</v>
      </c>
      <c r="N221" s="6">
        <v>779059.4589741847</v>
      </c>
      <c r="O221" s="6">
        <v>171013.05196994299</v>
      </c>
      <c r="P221" s="4">
        <v>1</v>
      </c>
      <c r="Q221" s="4">
        <v>0</v>
      </c>
    </row>
    <row r="222" spans="1:17" x14ac:dyDescent="0.35">
      <c r="A222" t="s">
        <v>66</v>
      </c>
      <c r="B222" s="4">
        <v>2020</v>
      </c>
      <c r="C222" s="4">
        <v>0</v>
      </c>
      <c r="D222" s="4">
        <v>2025</v>
      </c>
      <c r="E222" s="5">
        <v>44030</v>
      </c>
      <c r="F222" s="5">
        <v>44110</v>
      </c>
      <c r="G222" t="s">
        <v>27</v>
      </c>
      <c r="H222" t="s">
        <v>58</v>
      </c>
      <c r="I222" t="s">
        <v>39</v>
      </c>
      <c r="J222" s="6">
        <v>1765000</v>
      </c>
      <c r="K222" s="6">
        <v>189000</v>
      </c>
      <c r="L222" s="6">
        <v>960444.05215558293</v>
      </c>
      <c r="M222" s="6">
        <v>265203.96992810303</v>
      </c>
      <c r="N222" s="6">
        <v>26520.396992810303</v>
      </c>
      <c r="O222" s="6">
        <v>238683.57293529273</v>
      </c>
      <c r="P222" s="4">
        <v>1</v>
      </c>
      <c r="Q222" s="4">
        <v>0</v>
      </c>
    </row>
    <row r="223" spans="1:17" x14ac:dyDescent="0.35">
      <c r="A223" t="s">
        <v>66</v>
      </c>
      <c r="B223" s="4">
        <v>2020</v>
      </c>
      <c r="C223" s="4">
        <v>1</v>
      </c>
      <c r="D223" s="4">
        <v>2025</v>
      </c>
      <c r="E223" s="5">
        <v>44030</v>
      </c>
      <c r="F223" s="5">
        <v>44110</v>
      </c>
      <c r="G223" t="s">
        <v>27</v>
      </c>
      <c r="H223" t="s">
        <v>58</v>
      </c>
      <c r="I223" t="s">
        <v>39</v>
      </c>
      <c r="J223" s="6">
        <v>1765000</v>
      </c>
      <c r="K223" s="6">
        <v>189000</v>
      </c>
      <c r="L223" s="6">
        <v>960444.05215558293</v>
      </c>
      <c r="M223" s="6">
        <v>459605.69423011993</v>
      </c>
      <c r="N223" s="6">
        <v>137881.70826903597</v>
      </c>
      <c r="O223" s="6">
        <v>321723.98596108396</v>
      </c>
      <c r="P223" s="4">
        <v>1</v>
      </c>
      <c r="Q223" s="4">
        <v>0</v>
      </c>
    </row>
    <row r="224" spans="1:17" x14ac:dyDescent="0.35">
      <c r="A224" t="s">
        <v>66</v>
      </c>
      <c r="B224" s="4">
        <v>2020</v>
      </c>
      <c r="C224" s="4">
        <v>2</v>
      </c>
      <c r="D224" s="4">
        <v>2025</v>
      </c>
      <c r="E224" s="5">
        <v>44030</v>
      </c>
      <c r="F224" s="5">
        <v>44110</v>
      </c>
      <c r="G224" t="s">
        <v>27</v>
      </c>
      <c r="H224" t="s">
        <v>58</v>
      </c>
      <c r="I224" t="s">
        <v>39</v>
      </c>
      <c r="J224" s="6">
        <v>1765000</v>
      </c>
      <c r="K224" s="6">
        <v>189000</v>
      </c>
      <c r="L224" s="6">
        <v>960444.05215558293</v>
      </c>
      <c r="M224" s="6">
        <v>634512.19899441733</v>
      </c>
      <c r="N224" s="6">
        <v>285530.48954748781</v>
      </c>
      <c r="O224" s="6">
        <v>348981.70944692951</v>
      </c>
      <c r="P224" s="4">
        <v>1</v>
      </c>
      <c r="Q224" s="4">
        <v>0</v>
      </c>
    </row>
    <row r="225" spans="1:17" x14ac:dyDescent="0.35">
      <c r="A225" t="s">
        <v>66</v>
      </c>
      <c r="B225" s="4">
        <v>2020</v>
      </c>
      <c r="C225" s="4">
        <v>3</v>
      </c>
      <c r="D225" s="4">
        <v>2025</v>
      </c>
      <c r="E225" s="5">
        <v>44030</v>
      </c>
      <c r="F225" s="5">
        <v>44110</v>
      </c>
      <c r="G225" t="s">
        <v>27</v>
      </c>
      <c r="H225" t="s">
        <v>58</v>
      </c>
      <c r="I225" t="s">
        <v>39</v>
      </c>
      <c r="J225" s="6">
        <v>1765000</v>
      </c>
      <c r="K225" s="6">
        <v>189000</v>
      </c>
      <c r="L225" s="6">
        <v>960444.05215558293</v>
      </c>
      <c r="M225" s="6">
        <v>714077.28326943133</v>
      </c>
      <c r="N225" s="6">
        <v>428446.36996165878</v>
      </c>
      <c r="O225" s="6">
        <v>285630.91330777254</v>
      </c>
      <c r="P225" s="4">
        <v>1</v>
      </c>
      <c r="Q225" s="4">
        <v>0</v>
      </c>
    </row>
    <row r="226" spans="1:17" x14ac:dyDescent="0.35">
      <c r="A226" t="s">
        <v>66</v>
      </c>
      <c r="B226" s="4">
        <v>2020</v>
      </c>
      <c r="C226" s="4">
        <v>4</v>
      </c>
      <c r="D226" s="4">
        <v>2025</v>
      </c>
      <c r="E226" s="5">
        <v>44030</v>
      </c>
      <c r="F226" s="5">
        <v>44110</v>
      </c>
      <c r="G226" t="s">
        <v>27</v>
      </c>
      <c r="H226" t="s">
        <v>58</v>
      </c>
      <c r="I226" t="s">
        <v>39</v>
      </c>
      <c r="J226" s="6">
        <v>1765000</v>
      </c>
      <c r="K226" s="6">
        <v>189000</v>
      </c>
      <c r="L226" s="6">
        <v>960444.05215558293</v>
      </c>
      <c r="M226" s="6">
        <v>758508.8306765497</v>
      </c>
      <c r="N226" s="6">
        <v>758508.8306765497</v>
      </c>
      <c r="O226" s="6">
        <v>0</v>
      </c>
      <c r="P226" s="4">
        <v>1</v>
      </c>
      <c r="Q226" s="4">
        <v>1</v>
      </c>
    </row>
    <row r="227" spans="1:17" x14ac:dyDescent="0.35">
      <c r="A227" t="s">
        <v>66</v>
      </c>
      <c r="B227" s="4">
        <v>2020</v>
      </c>
      <c r="C227" s="4">
        <v>5</v>
      </c>
      <c r="D227" s="4">
        <v>2025</v>
      </c>
      <c r="E227" s="5">
        <v>44030</v>
      </c>
      <c r="F227" s="5">
        <v>44110</v>
      </c>
      <c r="G227" t="s">
        <v>27</v>
      </c>
      <c r="H227" t="s">
        <v>58</v>
      </c>
      <c r="I227" t="s">
        <v>39</v>
      </c>
      <c r="J227" s="6">
        <v>1765000</v>
      </c>
      <c r="K227" s="6">
        <v>189000</v>
      </c>
      <c r="L227" s="6">
        <v>960444.05215558293</v>
      </c>
      <c r="M227" s="6">
        <v>859386.01996167772</v>
      </c>
      <c r="N227" s="6">
        <v>859386.01996167772</v>
      </c>
      <c r="O227" s="6">
        <v>0</v>
      </c>
      <c r="P227" s="4">
        <v>1</v>
      </c>
      <c r="Q227" s="4">
        <v>1</v>
      </c>
    </row>
    <row r="228" spans="1:17" x14ac:dyDescent="0.35">
      <c r="A228" t="s">
        <v>67</v>
      </c>
      <c r="B228" s="4">
        <v>2020</v>
      </c>
      <c r="C228" s="4">
        <v>0</v>
      </c>
      <c r="D228" s="4">
        <v>2025</v>
      </c>
      <c r="E228" s="5">
        <v>44027</v>
      </c>
      <c r="F228" s="5">
        <v>44086</v>
      </c>
      <c r="G228" t="s">
        <v>36</v>
      </c>
      <c r="H228" t="s">
        <v>34</v>
      </c>
      <c r="I228" t="s">
        <v>25</v>
      </c>
      <c r="J228" s="6">
        <v>1814000</v>
      </c>
      <c r="K228" s="6">
        <v>116000</v>
      </c>
      <c r="L228" s="6">
        <v>1458363.5877080038</v>
      </c>
      <c r="M228" s="6">
        <v>437015.99557195028</v>
      </c>
      <c r="N228" s="6">
        <v>43701.599557195033</v>
      </c>
      <c r="O228" s="6">
        <v>393314.39601475524</v>
      </c>
      <c r="P228" s="4">
        <v>1</v>
      </c>
      <c r="Q228" s="4">
        <v>0</v>
      </c>
    </row>
    <row r="229" spans="1:17" x14ac:dyDescent="0.35">
      <c r="A229" t="s">
        <v>67</v>
      </c>
      <c r="B229" s="4">
        <v>2020</v>
      </c>
      <c r="C229" s="4">
        <v>1</v>
      </c>
      <c r="D229" s="4">
        <v>2025</v>
      </c>
      <c r="E229" s="5">
        <v>44027</v>
      </c>
      <c r="F229" s="5">
        <v>44086</v>
      </c>
      <c r="G229" t="s">
        <v>36</v>
      </c>
      <c r="H229" t="s">
        <v>34</v>
      </c>
      <c r="I229" t="s">
        <v>25</v>
      </c>
      <c r="J229" s="6">
        <v>1814000</v>
      </c>
      <c r="K229" s="6">
        <v>116000</v>
      </c>
      <c r="L229" s="6">
        <v>1458363.5877080038</v>
      </c>
      <c r="M229" s="6">
        <v>714975.89398247132</v>
      </c>
      <c r="N229" s="6">
        <v>214492.76819474139</v>
      </c>
      <c r="O229" s="6">
        <v>500483.12578772992</v>
      </c>
      <c r="P229" s="4">
        <v>1</v>
      </c>
      <c r="Q229" s="4">
        <v>0</v>
      </c>
    </row>
    <row r="230" spans="1:17" x14ac:dyDescent="0.35">
      <c r="A230" t="s">
        <v>67</v>
      </c>
      <c r="B230" s="4">
        <v>2020</v>
      </c>
      <c r="C230" s="4">
        <v>2</v>
      </c>
      <c r="D230" s="4">
        <v>2025</v>
      </c>
      <c r="E230" s="5">
        <v>44027</v>
      </c>
      <c r="F230" s="5">
        <v>44086</v>
      </c>
      <c r="G230" t="s">
        <v>36</v>
      </c>
      <c r="H230" t="s">
        <v>34</v>
      </c>
      <c r="I230" t="s">
        <v>25</v>
      </c>
      <c r="J230" s="6">
        <v>1814000</v>
      </c>
      <c r="K230" s="6">
        <v>116000</v>
      </c>
      <c r="L230" s="6">
        <v>1458363.5877080038</v>
      </c>
      <c r="M230" s="6">
        <v>935928.71347345226</v>
      </c>
      <c r="N230" s="6">
        <v>421167.92106305354</v>
      </c>
      <c r="O230" s="6">
        <v>514760.79241039872</v>
      </c>
      <c r="P230" s="4">
        <v>1</v>
      </c>
      <c r="Q230" s="4">
        <v>0</v>
      </c>
    </row>
    <row r="231" spans="1:17" x14ac:dyDescent="0.35">
      <c r="A231" t="s">
        <v>67</v>
      </c>
      <c r="B231" s="4">
        <v>2020</v>
      </c>
      <c r="C231" s="4">
        <v>3</v>
      </c>
      <c r="D231" s="4">
        <v>2025</v>
      </c>
      <c r="E231" s="5">
        <v>44027</v>
      </c>
      <c r="F231" s="5">
        <v>44086</v>
      </c>
      <c r="G231" t="s">
        <v>36</v>
      </c>
      <c r="H231" t="s">
        <v>34</v>
      </c>
      <c r="I231" t="s">
        <v>25</v>
      </c>
      <c r="J231" s="6">
        <v>1814000</v>
      </c>
      <c r="K231" s="6">
        <v>116000</v>
      </c>
      <c r="L231" s="6">
        <v>1458363.5877080038</v>
      </c>
      <c r="M231" s="6">
        <v>1192025.1529955631</v>
      </c>
      <c r="N231" s="6">
        <v>715215.09179733787</v>
      </c>
      <c r="O231" s="6">
        <v>476810.06119822524</v>
      </c>
      <c r="P231" s="4">
        <v>1</v>
      </c>
      <c r="Q231" s="4">
        <v>0</v>
      </c>
    </row>
    <row r="232" spans="1:17" x14ac:dyDescent="0.35">
      <c r="A232" t="s">
        <v>67</v>
      </c>
      <c r="B232" s="4">
        <v>2020</v>
      </c>
      <c r="C232" s="4">
        <v>4</v>
      </c>
      <c r="D232" s="4">
        <v>2025</v>
      </c>
      <c r="E232" s="5">
        <v>44027</v>
      </c>
      <c r="F232" s="5">
        <v>44086</v>
      </c>
      <c r="G232" t="s">
        <v>36</v>
      </c>
      <c r="H232" t="s">
        <v>34</v>
      </c>
      <c r="I232" t="s">
        <v>25</v>
      </c>
      <c r="J232" s="6">
        <v>1814000</v>
      </c>
      <c r="K232" s="6">
        <v>116000</v>
      </c>
      <c r="L232" s="6">
        <v>1458363.5877080038</v>
      </c>
      <c r="M232" s="6">
        <v>1192025.1529955631</v>
      </c>
      <c r="N232" s="6">
        <v>858258.11015680537</v>
      </c>
      <c r="O232" s="6">
        <v>333767.04283875774</v>
      </c>
      <c r="P232" s="4">
        <v>1</v>
      </c>
      <c r="Q232" s="4">
        <v>0</v>
      </c>
    </row>
    <row r="233" spans="1:17" x14ac:dyDescent="0.35">
      <c r="A233" t="s">
        <v>67</v>
      </c>
      <c r="B233" s="4">
        <v>2020</v>
      </c>
      <c r="C233" s="4">
        <v>5</v>
      </c>
      <c r="D233" s="4">
        <v>2025</v>
      </c>
      <c r="E233" s="5">
        <v>44027</v>
      </c>
      <c r="F233" s="5">
        <v>44086</v>
      </c>
      <c r="G233" t="s">
        <v>36</v>
      </c>
      <c r="H233" t="s">
        <v>34</v>
      </c>
      <c r="I233" t="s">
        <v>25</v>
      </c>
      <c r="J233" s="6">
        <v>1814000</v>
      </c>
      <c r="K233" s="6">
        <v>116000</v>
      </c>
      <c r="L233" s="6">
        <v>1458363.5877080038</v>
      </c>
      <c r="M233" s="6">
        <v>1240063.0783164771</v>
      </c>
      <c r="N233" s="6">
        <v>1016851.7242195111</v>
      </c>
      <c r="O233" s="6">
        <v>223211.35409696598</v>
      </c>
      <c r="P233" s="4">
        <v>1</v>
      </c>
      <c r="Q233" s="4">
        <v>0</v>
      </c>
    </row>
    <row r="234" spans="1:17" x14ac:dyDescent="0.35">
      <c r="A234" t="s">
        <v>68</v>
      </c>
      <c r="B234" s="4">
        <v>2021</v>
      </c>
      <c r="C234" s="4">
        <v>0</v>
      </c>
      <c r="D234" s="4">
        <v>2025</v>
      </c>
      <c r="E234" s="5">
        <v>44246</v>
      </c>
      <c r="F234" s="5">
        <v>44338</v>
      </c>
      <c r="G234" t="s">
        <v>41</v>
      </c>
      <c r="H234" t="s">
        <v>58</v>
      </c>
      <c r="I234" t="s">
        <v>62</v>
      </c>
      <c r="J234" s="6">
        <v>3180000</v>
      </c>
      <c r="K234" s="6">
        <v>24000</v>
      </c>
      <c r="L234" s="6">
        <v>1230362.7942745257</v>
      </c>
      <c r="M234" s="6">
        <v>361431.09706325509</v>
      </c>
      <c r="N234" s="6">
        <v>36143.109706325507</v>
      </c>
      <c r="O234" s="6">
        <v>325287.98735692957</v>
      </c>
      <c r="P234" s="4">
        <v>1</v>
      </c>
      <c r="Q234" s="4">
        <v>0</v>
      </c>
    </row>
    <row r="235" spans="1:17" x14ac:dyDescent="0.35">
      <c r="A235" t="s">
        <v>68</v>
      </c>
      <c r="B235" s="4">
        <v>2021</v>
      </c>
      <c r="C235" s="4">
        <v>1</v>
      </c>
      <c r="D235" s="4">
        <v>2025</v>
      </c>
      <c r="E235" s="5">
        <v>44246</v>
      </c>
      <c r="F235" s="5">
        <v>44338</v>
      </c>
      <c r="G235" t="s">
        <v>41</v>
      </c>
      <c r="H235" t="s">
        <v>58</v>
      </c>
      <c r="I235" t="s">
        <v>62</v>
      </c>
      <c r="J235" s="6">
        <v>3180000</v>
      </c>
      <c r="K235" s="6">
        <v>24000</v>
      </c>
      <c r="L235" s="6">
        <v>1230362.7942745257</v>
      </c>
      <c r="M235" s="6">
        <v>573412.79114240478</v>
      </c>
      <c r="N235" s="6">
        <v>172023.83734272144</v>
      </c>
      <c r="O235" s="6">
        <v>401388.95379968337</v>
      </c>
      <c r="P235" s="4">
        <v>1</v>
      </c>
      <c r="Q235" s="4">
        <v>0</v>
      </c>
    </row>
    <row r="236" spans="1:17" x14ac:dyDescent="0.35">
      <c r="A236" t="s">
        <v>68</v>
      </c>
      <c r="B236" s="4">
        <v>2021</v>
      </c>
      <c r="C236" s="4">
        <v>2</v>
      </c>
      <c r="D236" s="4">
        <v>2025</v>
      </c>
      <c r="E236" s="5">
        <v>44246</v>
      </c>
      <c r="F236" s="5">
        <v>44338</v>
      </c>
      <c r="G236" t="s">
        <v>41</v>
      </c>
      <c r="H236" t="s">
        <v>58</v>
      </c>
      <c r="I236" t="s">
        <v>62</v>
      </c>
      <c r="J236" s="6">
        <v>3180000</v>
      </c>
      <c r="K236" s="6">
        <v>24000</v>
      </c>
      <c r="L236" s="6">
        <v>1230362.7942745257</v>
      </c>
      <c r="M236" s="6">
        <v>769372.10372212785</v>
      </c>
      <c r="N236" s="6">
        <v>769372.10372212785</v>
      </c>
      <c r="O236" s="6">
        <v>0</v>
      </c>
      <c r="P236" s="4">
        <v>1</v>
      </c>
      <c r="Q236" s="4">
        <v>1</v>
      </c>
    </row>
    <row r="237" spans="1:17" x14ac:dyDescent="0.35">
      <c r="A237" t="s">
        <v>68</v>
      </c>
      <c r="B237" s="4">
        <v>2021</v>
      </c>
      <c r="C237" s="4">
        <v>3</v>
      </c>
      <c r="D237" s="4">
        <v>2025</v>
      </c>
      <c r="E237" s="5">
        <v>44246</v>
      </c>
      <c r="F237" s="5">
        <v>44338</v>
      </c>
      <c r="G237" t="s">
        <v>41</v>
      </c>
      <c r="H237" t="s">
        <v>58</v>
      </c>
      <c r="I237" t="s">
        <v>62</v>
      </c>
      <c r="J237" s="6">
        <v>3180000</v>
      </c>
      <c r="K237" s="6">
        <v>24000</v>
      </c>
      <c r="L237" s="6">
        <v>1230362.7942745257</v>
      </c>
      <c r="M237" s="6">
        <v>909721.95935968892</v>
      </c>
      <c r="N237" s="6">
        <v>909721.95935968892</v>
      </c>
      <c r="O237" s="6">
        <v>0</v>
      </c>
      <c r="P237" s="4">
        <v>1</v>
      </c>
      <c r="Q237" s="4">
        <v>1</v>
      </c>
    </row>
    <row r="238" spans="1:17" x14ac:dyDescent="0.35">
      <c r="A238" t="s">
        <v>68</v>
      </c>
      <c r="B238" s="4">
        <v>2021</v>
      </c>
      <c r="C238" s="4">
        <v>4</v>
      </c>
      <c r="D238" s="4">
        <v>2025</v>
      </c>
      <c r="E238" s="5">
        <v>44246</v>
      </c>
      <c r="F238" s="5">
        <v>44338</v>
      </c>
      <c r="G238" t="s">
        <v>41</v>
      </c>
      <c r="H238" t="s">
        <v>58</v>
      </c>
      <c r="I238" t="s">
        <v>62</v>
      </c>
      <c r="J238" s="6">
        <v>3180000</v>
      </c>
      <c r="K238" s="6">
        <v>24000</v>
      </c>
      <c r="L238" s="6">
        <v>1230362.7942745257</v>
      </c>
      <c r="M238" s="6">
        <v>954186.12305443548</v>
      </c>
      <c r="N238" s="6">
        <v>954186.12305443548</v>
      </c>
      <c r="O238" s="6">
        <v>0</v>
      </c>
      <c r="P238" s="4">
        <v>1</v>
      </c>
      <c r="Q238" s="4">
        <v>1</v>
      </c>
    </row>
    <row r="239" spans="1:17" x14ac:dyDescent="0.35">
      <c r="A239" t="s">
        <v>69</v>
      </c>
      <c r="B239" s="4">
        <v>2021</v>
      </c>
      <c r="C239" s="4">
        <v>0</v>
      </c>
      <c r="D239" s="4">
        <v>2025</v>
      </c>
      <c r="E239" s="5">
        <v>44325</v>
      </c>
      <c r="F239" s="5">
        <v>44362</v>
      </c>
      <c r="G239" t="s">
        <v>41</v>
      </c>
      <c r="H239" t="s">
        <v>58</v>
      </c>
      <c r="I239" t="s">
        <v>62</v>
      </c>
      <c r="J239" s="6">
        <v>3750000</v>
      </c>
      <c r="K239" s="6">
        <v>227000</v>
      </c>
      <c r="L239" s="6">
        <v>1768618.1424739761</v>
      </c>
      <c r="M239" s="6">
        <v>540482.72911379137</v>
      </c>
      <c r="N239" s="6">
        <v>54048.272911379143</v>
      </c>
      <c r="O239" s="6">
        <v>486434.45620241226</v>
      </c>
      <c r="P239" s="4">
        <v>1</v>
      </c>
      <c r="Q239" s="4">
        <v>0</v>
      </c>
    </row>
    <row r="240" spans="1:17" x14ac:dyDescent="0.35">
      <c r="A240" t="s">
        <v>69</v>
      </c>
      <c r="B240" s="4">
        <v>2021</v>
      </c>
      <c r="C240" s="4">
        <v>1</v>
      </c>
      <c r="D240" s="4">
        <v>2025</v>
      </c>
      <c r="E240" s="5">
        <v>44325</v>
      </c>
      <c r="F240" s="5">
        <v>44362</v>
      </c>
      <c r="G240" t="s">
        <v>41</v>
      </c>
      <c r="H240" t="s">
        <v>58</v>
      </c>
      <c r="I240" t="s">
        <v>62</v>
      </c>
      <c r="J240" s="6">
        <v>3750000</v>
      </c>
      <c r="K240" s="6">
        <v>227000</v>
      </c>
      <c r="L240" s="6">
        <v>1768618.1424739761</v>
      </c>
      <c r="M240" s="6">
        <v>823326.27388815128</v>
      </c>
      <c r="N240" s="6">
        <v>246997.88216644537</v>
      </c>
      <c r="O240" s="6">
        <v>576328.39172170591</v>
      </c>
      <c r="P240" s="4">
        <v>1</v>
      </c>
      <c r="Q240" s="4">
        <v>0</v>
      </c>
    </row>
    <row r="241" spans="1:17" x14ac:dyDescent="0.35">
      <c r="A241" t="s">
        <v>69</v>
      </c>
      <c r="B241" s="4">
        <v>2021</v>
      </c>
      <c r="C241" s="4">
        <v>2</v>
      </c>
      <c r="D241" s="4">
        <v>2025</v>
      </c>
      <c r="E241" s="5">
        <v>44325</v>
      </c>
      <c r="F241" s="5">
        <v>44362</v>
      </c>
      <c r="G241" t="s">
        <v>41</v>
      </c>
      <c r="H241" t="s">
        <v>58</v>
      </c>
      <c r="I241" t="s">
        <v>62</v>
      </c>
      <c r="J241" s="6">
        <v>3750000</v>
      </c>
      <c r="K241" s="6">
        <v>227000</v>
      </c>
      <c r="L241" s="6">
        <v>1768618.1424739761</v>
      </c>
      <c r="M241" s="6">
        <v>1105166.0587253533</v>
      </c>
      <c r="N241" s="6">
        <v>497324.72642640903</v>
      </c>
      <c r="O241" s="6">
        <v>607841.33229894424</v>
      </c>
      <c r="P241" s="4">
        <v>1</v>
      </c>
      <c r="Q241" s="4">
        <v>0</v>
      </c>
    </row>
    <row r="242" spans="1:17" x14ac:dyDescent="0.35">
      <c r="A242" t="s">
        <v>69</v>
      </c>
      <c r="B242" s="4">
        <v>2021</v>
      </c>
      <c r="C242" s="4">
        <v>3</v>
      </c>
      <c r="D242" s="4">
        <v>2025</v>
      </c>
      <c r="E242" s="5">
        <v>44325</v>
      </c>
      <c r="F242" s="5">
        <v>44362</v>
      </c>
      <c r="G242" t="s">
        <v>41</v>
      </c>
      <c r="H242" t="s">
        <v>58</v>
      </c>
      <c r="I242" t="s">
        <v>62</v>
      </c>
      <c r="J242" s="6">
        <v>3750000</v>
      </c>
      <c r="K242" s="6">
        <v>227000</v>
      </c>
      <c r="L242" s="6">
        <v>1768618.1424739761</v>
      </c>
      <c r="M242" s="6">
        <v>1307894.8231033671</v>
      </c>
      <c r="N242" s="6">
        <v>784736.89386202022</v>
      </c>
      <c r="O242" s="6">
        <v>523157.92924134689</v>
      </c>
      <c r="P242" s="4">
        <v>1</v>
      </c>
      <c r="Q242" s="4">
        <v>0</v>
      </c>
    </row>
    <row r="243" spans="1:17" x14ac:dyDescent="0.35">
      <c r="A243" t="s">
        <v>69</v>
      </c>
      <c r="B243" s="4">
        <v>2021</v>
      </c>
      <c r="C243" s="4">
        <v>4</v>
      </c>
      <c r="D243" s="4">
        <v>2025</v>
      </c>
      <c r="E243" s="5">
        <v>44325</v>
      </c>
      <c r="F243" s="5">
        <v>44362</v>
      </c>
      <c r="G243" t="s">
        <v>41</v>
      </c>
      <c r="H243" t="s">
        <v>58</v>
      </c>
      <c r="I243" t="s">
        <v>62</v>
      </c>
      <c r="J243" s="6">
        <v>3750000</v>
      </c>
      <c r="K243" s="6">
        <v>227000</v>
      </c>
      <c r="L243" s="6">
        <v>1768618.1424739761</v>
      </c>
      <c r="M243" s="6">
        <v>1456265.2264128414</v>
      </c>
      <c r="N243" s="6">
        <v>1048510.9630172458</v>
      </c>
      <c r="O243" s="6">
        <v>407754.2633955956</v>
      </c>
      <c r="P243" s="4">
        <v>1</v>
      </c>
      <c r="Q243" s="4">
        <v>0</v>
      </c>
    </row>
    <row r="244" spans="1:17" x14ac:dyDescent="0.35">
      <c r="A244" t="s">
        <v>70</v>
      </c>
      <c r="B244" s="4">
        <v>2021</v>
      </c>
      <c r="C244" s="4">
        <v>0</v>
      </c>
      <c r="D244" s="4">
        <v>2025</v>
      </c>
      <c r="E244" s="5">
        <v>44444</v>
      </c>
      <c r="F244" s="5">
        <v>44445</v>
      </c>
      <c r="G244" t="s">
        <v>36</v>
      </c>
      <c r="H244" t="s">
        <v>31</v>
      </c>
      <c r="I244" t="s">
        <v>22</v>
      </c>
      <c r="J244" s="6">
        <v>1548000</v>
      </c>
      <c r="K244" s="6">
        <v>216000</v>
      </c>
      <c r="L244" s="6">
        <v>836060.58034843125</v>
      </c>
      <c r="M244" s="6">
        <v>251074.36573683246</v>
      </c>
      <c r="N244" s="6">
        <v>25107.436573683248</v>
      </c>
      <c r="O244" s="6">
        <v>225966.92916314921</v>
      </c>
      <c r="P244" s="4">
        <v>1</v>
      </c>
      <c r="Q244" s="4">
        <v>0</v>
      </c>
    </row>
    <row r="245" spans="1:17" x14ac:dyDescent="0.35">
      <c r="A245" t="s">
        <v>70</v>
      </c>
      <c r="B245" s="4">
        <v>2021</v>
      </c>
      <c r="C245" s="4">
        <v>1</v>
      </c>
      <c r="D245" s="4">
        <v>2025</v>
      </c>
      <c r="E245" s="5">
        <v>44444</v>
      </c>
      <c r="F245" s="5">
        <v>44445</v>
      </c>
      <c r="G245" t="s">
        <v>36</v>
      </c>
      <c r="H245" t="s">
        <v>31</v>
      </c>
      <c r="I245" t="s">
        <v>22</v>
      </c>
      <c r="J245" s="6">
        <v>1548000</v>
      </c>
      <c r="K245" s="6">
        <v>216000</v>
      </c>
      <c r="L245" s="6">
        <v>836060.58034843125</v>
      </c>
      <c r="M245" s="6">
        <v>409869.67867925053</v>
      </c>
      <c r="N245" s="6">
        <v>122960.90360377515</v>
      </c>
      <c r="O245" s="6">
        <v>286908.77507547539</v>
      </c>
      <c r="P245" s="4">
        <v>1</v>
      </c>
      <c r="Q245" s="4">
        <v>0</v>
      </c>
    </row>
    <row r="246" spans="1:17" x14ac:dyDescent="0.35">
      <c r="A246" t="s">
        <v>70</v>
      </c>
      <c r="B246" s="4">
        <v>2021</v>
      </c>
      <c r="C246" s="4">
        <v>2</v>
      </c>
      <c r="D246" s="4">
        <v>2025</v>
      </c>
      <c r="E246" s="5">
        <v>44444</v>
      </c>
      <c r="F246" s="5">
        <v>44445</v>
      </c>
      <c r="G246" t="s">
        <v>36</v>
      </c>
      <c r="H246" t="s">
        <v>31</v>
      </c>
      <c r="I246" t="s">
        <v>22</v>
      </c>
      <c r="J246" s="6">
        <v>1548000</v>
      </c>
      <c r="K246" s="6">
        <v>216000</v>
      </c>
      <c r="L246" s="6">
        <v>836060.58034843125</v>
      </c>
      <c r="M246" s="6">
        <v>543101.86473877239</v>
      </c>
      <c r="N246" s="6">
        <v>244395.83913244758</v>
      </c>
      <c r="O246" s="6">
        <v>298706.02560632478</v>
      </c>
      <c r="P246" s="4">
        <v>1</v>
      </c>
      <c r="Q246" s="4">
        <v>0</v>
      </c>
    </row>
    <row r="247" spans="1:17" x14ac:dyDescent="0.35">
      <c r="A247" t="s">
        <v>70</v>
      </c>
      <c r="B247" s="4">
        <v>2021</v>
      </c>
      <c r="C247" s="4">
        <v>3</v>
      </c>
      <c r="D247" s="4">
        <v>2025</v>
      </c>
      <c r="E247" s="5">
        <v>44444</v>
      </c>
      <c r="F247" s="5">
        <v>44445</v>
      </c>
      <c r="G247" t="s">
        <v>36</v>
      </c>
      <c r="H247" t="s">
        <v>31</v>
      </c>
      <c r="I247" t="s">
        <v>22</v>
      </c>
      <c r="J247" s="6">
        <v>1548000</v>
      </c>
      <c r="K247" s="6">
        <v>216000</v>
      </c>
      <c r="L247" s="6">
        <v>836060.58034843125</v>
      </c>
      <c r="M247" s="6">
        <v>623783.31288514112</v>
      </c>
      <c r="N247" s="6">
        <v>374269.98773108464</v>
      </c>
      <c r="O247" s="6">
        <v>249513.32515405648</v>
      </c>
      <c r="P247" s="4">
        <v>1</v>
      </c>
      <c r="Q247" s="4">
        <v>0</v>
      </c>
    </row>
    <row r="248" spans="1:17" x14ac:dyDescent="0.35">
      <c r="A248" t="s">
        <v>70</v>
      </c>
      <c r="B248" s="4">
        <v>2021</v>
      </c>
      <c r="C248" s="4">
        <v>4</v>
      </c>
      <c r="D248" s="4">
        <v>2025</v>
      </c>
      <c r="E248" s="5">
        <v>44444</v>
      </c>
      <c r="F248" s="5">
        <v>44445</v>
      </c>
      <c r="G248" t="s">
        <v>36</v>
      </c>
      <c r="H248" t="s">
        <v>31</v>
      </c>
      <c r="I248" t="s">
        <v>22</v>
      </c>
      <c r="J248" s="6">
        <v>1548000</v>
      </c>
      <c r="K248" s="6">
        <v>216000</v>
      </c>
      <c r="L248" s="6">
        <v>836060.58034843125</v>
      </c>
      <c r="M248" s="6">
        <v>674316.94872940471</v>
      </c>
      <c r="N248" s="6">
        <v>674316.94872940471</v>
      </c>
      <c r="O248" s="6">
        <v>0</v>
      </c>
      <c r="P248" s="4">
        <v>1</v>
      </c>
      <c r="Q248" s="4">
        <v>1</v>
      </c>
    </row>
    <row r="249" spans="1:17" x14ac:dyDescent="0.35">
      <c r="A249" t="s">
        <v>71</v>
      </c>
      <c r="B249" s="4">
        <v>2022</v>
      </c>
      <c r="C249" s="4">
        <v>0</v>
      </c>
      <c r="D249" s="4">
        <v>2025</v>
      </c>
      <c r="E249" s="5">
        <v>44583</v>
      </c>
      <c r="F249" s="5">
        <v>44696</v>
      </c>
      <c r="G249" t="s">
        <v>20</v>
      </c>
      <c r="H249" t="s">
        <v>58</v>
      </c>
      <c r="I249" t="s">
        <v>25</v>
      </c>
      <c r="J249" s="6">
        <v>4143000</v>
      </c>
      <c r="K249" s="6">
        <v>219000</v>
      </c>
      <c r="L249" s="6">
        <v>1962833.4761861735</v>
      </c>
      <c r="M249" s="6">
        <v>588200.02541806432</v>
      </c>
      <c r="N249" s="6">
        <v>58820.002541806432</v>
      </c>
      <c r="O249" s="6">
        <v>529380.02287625789</v>
      </c>
      <c r="P249" s="4">
        <v>1</v>
      </c>
      <c r="Q249" s="4">
        <v>0</v>
      </c>
    </row>
    <row r="250" spans="1:17" x14ac:dyDescent="0.35">
      <c r="A250" t="s">
        <v>71</v>
      </c>
      <c r="B250" s="4">
        <v>2022</v>
      </c>
      <c r="C250" s="4">
        <v>1</v>
      </c>
      <c r="D250" s="4">
        <v>2025</v>
      </c>
      <c r="E250" s="5">
        <v>44583</v>
      </c>
      <c r="F250" s="5">
        <v>44696</v>
      </c>
      <c r="G250" t="s">
        <v>20</v>
      </c>
      <c r="H250" t="s">
        <v>58</v>
      </c>
      <c r="I250" t="s">
        <v>25</v>
      </c>
      <c r="J250" s="6">
        <v>4143000</v>
      </c>
      <c r="K250" s="6">
        <v>219000</v>
      </c>
      <c r="L250" s="6">
        <v>1962833.4761861735</v>
      </c>
      <c r="M250" s="6">
        <v>952922.91376464092</v>
      </c>
      <c r="N250" s="6">
        <v>285876.87412939226</v>
      </c>
      <c r="O250" s="6">
        <v>667046.03963524872</v>
      </c>
      <c r="P250" s="4">
        <v>1</v>
      </c>
      <c r="Q250" s="4">
        <v>0</v>
      </c>
    </row>
    <row r="251" spans="1:17" x14ac:dyDescent="0.35">
      <c r="A251" t="s">
        <v>71</v>
      </c>
      <c r="B251" s="4">
        <v>2022</v>
      </c>
      <c r="C251" s="4">
        <v>2</v>
      </c>
      <c r="D251" s="4">
        <v>2025</v>
      </c>
      <c r="E251" s="5">
        <v>44583</v>
      </c>
      <c r="F251" s="5">
        <v>44696</v>
      </c>
      <c r="G251" t="s">
        <v>20</v>
      </c>
      <c r="H251" t="s">
        <v>58</v>
      </c>
      <c r="I251" t="s">
        <v>25</v>
      </c>
      <c r="J251" s="6">
        <v>4143000</v>
      </c>
      <c r="K251" s="6">
        <v>219000</v>
      </c>
      <c r="L251" s="6">
        <v>1962833.4761861735</v>
      </c>
      <c r="M251" s="6">
        <v>1382383.7375410048</v>
      </c>
      <c r="N251" s="6">
        <v>622072.68189345219</v>
      </c>
      <c r="O251" s="6">
        <v>760311.0556475526</v>
      </c>
      <c r="P251" s="4">
        <v>1</v>
      </c>
      <c r="Q251" s="4">
        <v>0</v>
      </c>
    </row>
    <row r="252" spans="1:17" x14ac:dyDescent="0.35">
      <c r="A252" t="s">
        <v>71</v>
      </c>
      <c r="B252" s="4">
        <v>2022</v>
      </c>
      <c r="C252" s="4">
        <v>3</v>
      </c>
      <c r="D252" s="4">
        <v>2025</v>
      </c>
      <c r="E252" s="5">
        <v>44583</v>
      </c>
      <c r="F252" s="5">
        <v>44696</v>
      </c>
      <c r="G252" t="s">
        <v>20</v>
      </c>
      <c r="H252" t="s">
        <v>58</v>
      </c>
      <c r="I252" t="s">
        <v>25</v>
      </c>
      <c r="J252" s="6">
        <v>4143000</v>
      </c>
      <c r="K252" s="6">
        <v>219000</v>
      </c>
      <c r="L252" s="6">
        <v>1962833.4761861735</v>
      </c>
      <c r="M252" s="6">
        <v>1507901.562991977</v>
      </c>
      <c r="N252" s="6">
        <v>904740.93779518618</v>
      </c>
      <c r="O252" s="6">
        <v>603160.62519679079</v>
      </c>
      <c r="P252" s="4">
        <v>1</v>
      </c>
      <c r="Q252" s="4">
        <v>0</v>
      </c>
    </row>
    <row r="253" spans="1:17" x14ac:dyDescent="0.35">
      <c r="A253" t="s">
        <v>72</v>
      </c>
      <c r="B253" s="4">
        <v>2022</v>
      </c>
      <c r="C253" s="4">
        <v>0</v>
      </c>
      <c r="D253" s="4">
        <v>2025</v>
      </c>
      <c r="E253" s="5">
        <v>44566</v>
      </c>
      <c r="F253" s="5">
        <v>44737</v>
      </c>
      <c r="G253" t="s">
        <v>27</v>
      </c>
      <c r="H253" t="s">
        <v>58</v>
      </c>
      <c r="I253" t="s">
        <v>37</v>
      </c>
      <c r="J253" s="6">
        <v>5198000</v>
      </c>
      <c r="K253" s="6">
        <v>39000</v>
      </c>
      <c r="L253" s="6">
        <v>2400293.7914067716</v>
      </c>
      <c r="M253" s="6">
        <v>710601.29369669792</v>
      </c>
      <c r="N253" s="6">
        <v>71060.129369669798</v>
      </c>
      <c r="O253" s="6">
        <v>639541.16432702809</v>
      </c>
      <c r="P253" s="4">
        <v>1</v>
      </c>
      <c r="Q253" s="4">
        <v>0</v>
      </c>
    </row>
    <row r="254" spans="1:17" x14ac:dyDescent="0.35">
      <c r="A254" t="s">
        <v>72</v>
      </c>
      <c r="B254" s="4">
        <v>2022</v>
      </c>
      <c r="C254" s="4">
        <v>1</v>
      </c>
      <c r="D254" s="4">
        <v>2025</v>
      </c>
      <c r="E254" s="5">
        <v>44566</v>
      </c>
      <c r="F254" s="5">
        <v>44737</v>
      </c>
      <c r="G254" t="s">
        <v>27</v>
      </c>
      <c r="H254" t="s">
        <v>58</v>
      </c>
      <c r="I254" t="s">
        <v>37</v>
      </c>
      <c r="J254" s="6">
        <v>5198000</v>
      </c>
      <c r="K254" s="6">
        <v>39000</v>
      </c>
      <c r="L254" s="6">
        <v>2400293.7914067716</v>
      </c>
      <c r="M254" s="6">
        <v>1217660.3598457733</v>
      </c>
      <c r="N254" s="6">
        <v>365298.10795373196</v>
      </c>
      <c r="O254" s="6">
        <v>852362.25189204141</v>
      </c>
      <c r="P254" s="4">
        <v>1</v>
      </c>
      <c r="Q254" s="4">
        <v>0</v>
      </c>
    </row>
    <row r="255" spans="1:17" x14ac:dyDescent="0.35">
      <c r="A255" t="s">
        <v>72</v>
      </c>
      <c r="B255" s="4">
        <v>2022</v>
      </c>
      <c r="C255" s="4">
        <v>2</v>
      </c>
      <c r="D255" s="4">
        <v>2025</v>
      </c>
      <c r="E255" s="5">
        <v>44566</v>
      </c>
      <c r="F255" s="5">
        <v>44737</v>
      </c>
      <c r="G255" t="s">
        <v>27</v>
      </c>
      <c r="H255" t="s">
        <v>58</v>
      </c>
      <c r="I255" t="s">
        <v>37</v>
      </c>
      <c r="J255" s="6">
        <v>5198000</v>
      </c>
      <c r="K255" s="6">
        <v>39000</v>
      </c>
      <c r="L255" s="6">
        <v>2400293.7914067716</v>
      </c>
      <c r="M255" s="6">
        <v>1554001.8245752235</v>
      </c>
      <c r="N255" s="6">
        <v>1554001.8245752235</v>
      </c>
      <c r="O255" s="6">
        <v>0</v>
      </c>
      <c r="P255" s="4">
        <v>1</v>
      </c>
      <c r="Q255" s="4">
        <v>1</v>
      </c>
    </row>
    <row r="256" spans="1:17" x14ac:dyDescent="0.35">
      <c r="A256" t="s">
        <v>72</v>
      </c>
      <c r="B256" s="4">
        <v>2022</v>
      </c>
      <c r="C256" s="4">
        <v>3</v>
      </c>
      <c r="D256" s="4">
        <v>2025</v>
      </c>
      <c r="E256" s="5">
        <v>44566</v>
      </c>
      <c r="F256" s="5">
        <v>44737</v>
      </c>
      <c r="G256" t="s">
        <v>27</v>
      </c>
      <c r="H256" t="s">
        <v>58</v>
      </c>
      <c r="I256" t="s">
        <v>37</v>
      </c>
      <c r="J256" s="6">
        <v>5198000</v>
      </c>
      <c r="K256" s="6">
        <v>39000</v>
      </c>
      <c r="L256" s="6">
        <v>2400293.7914067716</v>
      </c>
      <c r="M256" s="6">
        <v>1853307.8753891925</v>
      </c>
      <c r="N256" s="6">
        <v>1853307.8753891925</v>
      </c>
      <c r="O256" s="6">
        <v>0</v>
      </c>
      <c r="P256" s="4">
        <v>1</v>
      </c>
      <c r="Q256" s="4">
        <v>1</v>
      </c>
    </row>
    <row r="257" spans="1:17" x14ac:dyDescent="0.35">
      <c r="A257" t="s">
        <v>73</v>
      </c>
      <c r="B257" s="4">
        <v>2022</v>
      </c>
      <c r="C257" s="4">
        <v>0</v>
      </c>
      <c r="D257" s="4">
        <v>2025</v>
      </c>
      <c r="E257" s="5">
        <v>44835</v>
      </c>
      <c r="F257" s="5">
        <v>44977</v>
      </c>
      <c r="G257" t="s">
        <v>24</v>
      </c>
      <c r="H257" t="s">
        <v>21</v>
      </c>
      <c r="I257" t="s">
        <v>51</v>
      </c>
      <c r="J257" s="6">
        <v>6917000</v>
      </c>
      <c r="K257" s="6">
        <v>4000</v>
      </c>
      <c r="L257" s="6">
        <v>3164060.9426779449</v>
      </c>
      <c r="M257" s="6">
        <v>908151.71939564985</v>
      </c>
      <c r="N257" s="6">
        <v>90815.171939564985</v>
      </c>
      <c r="O257" s="6">
        <v>817336.54745608487</v>
      </c>
      <c r="P257" s="4">
        <v>1</v>
      </c>
      <c r="Q257" s="4">
        <v>0</v>
      </c>
    </row>
    <row r="258" spans="1:17" x14ac:dyDescent="0.35">
      <c r="A258" t="s">
        <v>73</v>
      </c>
      <c r="B258" s="4">
        <v>2022</v>
      </c>
      <c r="C258" s="4">
        <v>1</v>
      </c>
      <c r="D258" s="4">
        <v>2025</v>
      </c>
      <c r="E258" s="5">
        <v>44835</v>
      </c>
      <c r="F258" s="5">
        <v>44977</v>
      </c>
      <c r="G258" t="s">
        <v>24</v>
      </c>
      <c r="H258" t="s">
        <v>21</v>
      </c>
      <c r="I258" t="s">
        <v>51</v>
      </c>
      <c r="J258" s="6">
        <v>6917000</v>
      </c>
      <c r="K258" s="6">
        <v>4000</v>
      </c>
      <c r="L258" s="6">
        <v>3164060.9426779449</v>
      </c>
      <c r="M258" s="6">
        <v>1418136.0808349419</v>
      </c>
      <c r="N258" s="6">
        <v>425440.82425048255</v>
      </c>
      <c r="O258" s="6">
        <v>992695.25658445945</v>
      </c>
      <c r="P258" s="4">
        <v>1</v>
      </c>
      <c r="Q258" s="4">
        <v>0</v>
      </c>
    </row>
    <row r="259" spans="1:17" x14ac:dyDescent="0.35">
      <c r="A259" t="s">
        <v>73</v>
      </c>
      <c r="B259" s="4">
        <v>2022</v>
      </c>
      <c r="C259" s="4">
        <v>2</v>
      </c>
      <c r="D259" s="4">
        <v>2025</v>
      </c>
      <c r="E259" s="5">
        <v>44835</v>
      </c>
      <c r="F259" s="5">
        <v>44977</v>
      </c>
      <c r="G259" t="s">
        <v>24</v>
      </c>
      <c r="H259" t="s">
        <v>21</v>
      </c>
      <c r="I259" t="s">
        <v>51</v>
      </c>
      <c r="J259" s="6">
        <v>6917000</v>
      </c>
      <c r="K259" s="6">
        <v>4000</v>
      </c>
      <c r="L259" s="6">
        <v>3164060.9426779449</v>
      </c>
      <c r="M259" s="6">
        <v>1990937.9661131559</v>
      </c>
      <c r="N259" s="6">
        <v>895922.08475092018</v>
      </c>
      <c r="O259" s="6">
        <v>1095015.8813622356</v>
      </c>
      <c r="P259" s="4">
        <v>1</v>
      </c>
      <c r="Q259" s="4">
        <v>0</v>
      </c>
    </row>
    <row r="260" spans="1:17" x14ac:dyDescent="0.35">
      <c r="A260" t="s">
        <v>73</v>
      </c>
      <c r="B260" s="4">
        <v>2022</v>
      </c>
      <c r="C260" s="4">
        <v>3</v>
      </c>
      <c r="D260" s="4">
        <v>2025</v>
      </c>
      <c r="E260" s="5">
        <v>44835</v>
      </c>
      <c r="F260" s="5">
        <v>44977</v>
      </c>
      <c r="G260" t="s">
        <v>24</v>
      </c>
      <c r="H260" t="s">
        <v>21</v>
      </c>
      <c r="I260" t="s">
        <v>51</v>
      </c>
      <c r="J260" s="6">
        <v>6917000</v>
      </c>
      <c r="K260" s="6">
        <v>4000</v>
      </c>
      <c r="L260" s="6">
        <v>3164060.9426779449</v>
      </c>
      <c r="M260" s="6">
        <v>2348782.7169124652</v>
      </c>
      <c r="N260" s="6">
        <v>1409269.630147479</v>
      </c>
      <c r="O260" s="6">
        <v>939513.08676498616</v>
      </c>
      <c r="P260" s="4">
        <v>1</v>
      </c>
      <c r="Q260" s="4">
        <v>0</v>
      </c>
    </row>
    <row r="261" spans="1:17" x14ac:dyDescent="0.35">
      <c r="A261" t="s">
        <v>74</v>
      </c>
      <c r="B261" s="4">
        <v>2022</v>
      </c>
      <c r="C261" s="4">
        <v>0</v>
      </c>
      <c r="D261" s="4">
        <v>2025</v>
      </c>
      <c r="E261" s="5">
        <v>44699</v>
      </c>
      <c r="F261" s="5">
        <v>44765</v>
      </c>
      <c r="G261" t="s">
        <v>24</v>
      </c>
      <c r="H261" t="s">
        <v>42</v>
      </c>
      <c r="I261" t="s">
        <v>39</v>
      </c>
      <c r="J261" s="6">
        <v>934000</v>
      </c>
      <c r="K261" s="6">
        <v>46000</v>
      </c>
      <c r="L261" s="6">
        <v>531116.43141056097</v>
      </c>
      <c r="M261" s="6">
        <v>157174.63683796811</v>
      </c>
      <c r="N261" s="6">
        <v>15717.463683796812</v>
      </c>
      <c r="O261" s="6">
        <v>141457.17315417129</v>
      </c>
      <c r="P261" s="4">
        <v>1</v>
      </c>
      <c r="Q261" s="4">
        <v>0</v>
      </c>
    </row>
    <row r="262" spans="1:17" x14ac:dyDescent="0.35">
      <c r="A262" t="s">
        <v>74</v>
      </c>
      <c r="B262" s="4">
        <v>2022</v>
      </c>
      <c r="C262" s="4">
        <v>1</v>
      </c>
      <c r="D262" s="4">
        <v>2025</v>
      </c>
      <c r="E262" s="5">
        <v>44699</v>
      </c>
      <c r="F262" s="5">
        <v>44765</v>
      </c>
      <c r="G262" t="s">
        <v>24</v>
      </c>
      <c r="H262" t="s">
        <v>42</v>
      </c>
      <c r="I262" t="s">
        <v>39</v>
      </c>
      <c r="J262" s="6">
        <v>934000</v>
      </c>
      <c r="K262" s="6">
        <v>46000</v>
      </c>
      <c r="L262" s="6">
        <v>531116.43141056097</v>
      </c>
      <c r="M262" s="6">
        <v>273055.63682375121</v>
      </c>
      <c r="N262" s="6">
        <v>81916.691047125365</v>
      </c>
      <c r="O262" s="6">
        <v>191138.94577662583</v>
      </c>
      <c r="P262" s="4">
        <v>1</v>
      </c>
      <c r="Q262" s="4">
        <v>0</v>
      </c>
    </row>
    <row r="263" spans="1:17" x14ac:dyDescent="0.35">
      <c r="A263" t="s">
        <v>74</v>
      </c>
      <c r="B263" s="4">
        <v>2022</v>
      </c>
      <c r="C263" s="4">
        <v>2</v>
      </c>
      <c r="D263" s="4">
        <v>2025</v>
      </c>
      <c r="E263" s="5">
        <v>44699</v>
      </c>
      <c r="F263" s="5">
        <v>44765</v>
      </c>
      <c r="G263" t="s">
        <v>24</v>
      </c>
      <c r="H263" t="s">
        <v>42</v>
      </c>
      <c r="I263" t="s">
        <v>39</v>
      </c>
      <c r="J263" s="6">
        <v>934000</v>
      </c>
      <c r="K263" s="6">
        <v>46000</v>
      </c>
      <c r="L263" s="6">
        <v>531116.43141056097</v>
      </c>
      <c r="M263" s="6">
        <v>354434.76272694429</v>
      </c>
      <c r="N263" s="6">
        <v>159495.64322712494</v>
      </c>
      <c r="O263" s="6">
        <v>194939.11949981935</v>
      </c>
      <c r="P263" s="4">
        <v>1</v>
      </c>
      <c r="Q263" s="4">
        <v>0</v>
      </c>
    </row>
    <row r="264" spans="1:17" x14ac:dyDescent="0.35">
      <c r="A264" t="s">
        <v>74</v>
      </c>
      <c r="B264" s="4">
        <v>2022</v>
      </c>
      <c r="C264" s="4">
        <v>3</v>
      </c>
      <c r="D264" s="4">
        <v>2025</v>
      </c>
      <c r="E264" s="5">
        <v>44699</v>
      </c>
      <c r="F264" s="5">
        <v>44765</v>
      </c>
      <c r="G264" t="s">
        <v>24</v>
      </c>
      <c r="H264" t="s">
        <v>42</v>
      </c>
      <c r="I264" t="s">
        <v>39</v>
      </c>
      <c r="J264" s="6">
        <v>934000</v>
      </c>
      <c r="K264" s="6">
        <v>46000</v>
      </c>
      <c r="L264" s="6">
        <v>531116.43141056097</v>
      </c>
      <c r="M264" s="6">
        <v>390790.01137509756</v>
      </c>
      <c r="N264" s="6">
        <v>234474.00682505852</v>
      </c>
      <c r="O264" s="6">
        <v>156316.00455003904</v>
      </c>
      <c r="P264" s="4">
        <v>1</v>
      </c>
      <c r="Q264" s="4">
        <v>0</v>
      </c>
    </row>
    <row r="265" spans="1:17" x14ac:dyDescent="0.35">
      <c r="A265" t="s">
        <v>75</v>
      </c>
      <c r="B265" s="4">
        <v>2022</v>
      </c>
      <c r="C265" s="4">
        <v>0</v>
      </c>
      <c r="D265" s="4">
        <v>2025</v>
      </c>
      <c r="E265" s="5">
        <v>44917</v>
      </c>
      <c r="F265" s="5">
        <v>44972</v>
      </c>
      <c r="G265" t="s">
        <v>20</v>
      </c>
      <c r="H265" t="s">
        <v>21</v>
      </c>
      <c r="I265" t="s">
        <v>62</v>
      </c>
      <c r="J265" s="6">
        <v>6267000</v>
      </c>
      <c r="K265" s="6">
        <v>205000</v>
      </c>
      <c r="L265" s="6">
        <v>4430054.3412209228</v>
      </c>
      <c r="M265" s="6">
        <v>1298717.8612729229</v>
      </c>
      <c r="N265" s="6">
        <v>129871.7861272923</v>
      </c>
      <c r="O265" s="6">
        <v>1168846.0751456306</v>
      </c>
      <c r="P265" s="4">
        <v>1</v>
      </c>
      <c r="Q265" s="4">
        <v>0</v>
      </c>
    </row>
    <row r="266" spans="1:17" x14ac:dyDescent="0.35">
      <c r="A266" t="s">
        <v>75</v>
      </c>
      <c r="B266" s="4">
        <v>2022</v>
      </c>
      <c r="C266" s="4">
        <v>1</v>
      </c>
      <c r="D266" s="4">
        <v>2025</v>
      </c>
      <c r="E266" s="5">
        <v>44917</v>
      </c>
      <c r="F266" s="5">
        <v>44972</v>
      </c>
      <c r="G266" t="s">
        <v>20</v>
      </c>
      <c r="H266" t="s">
        <v>21</v>
      </c>
      <c r="I266" t="s">
        <v>62</v>
      </c>
      <c r="J266" s="6">
        <v>6267000</v>
      </c>
      <c r="K266" s="6">
        <v>205000</v>
      </c>
      <c r="L266" s="6">
        <v>4430054.3412209228</v>
      </c>
      <c r="M266" s="6">
        <v>2086733.393708779</v>
      </c>
      <c r="N266" s="6">
        <v>626020.01811263373</v>
      </c>
      <c r="O266" s="6">
        <v>1460713.3755961452</v>
      </c>
      <c r="P266" s="4">
        <v>1</v>
      </c>
      <c r="Q266" s="4">
        <v>0</v>
      </c>
    </row>
    <row r="267" spans="1:17" x14ac:dyDescent="0.35">
      <c r="A267" t="s">
        <v>75</v>
      </c>
      <c r="B267" s="4">
        <v>2022</v>
      </c>
      <c r="C267" s="4">
        <v>2</v>
      </c>
      <c r="D267" s="4">
        <v>2025</v>
      </c>
      <c r="E267" s="5">
        <v>44917</v>
      </c>
      <c r="F267" s="5">
        <v>44972</v>
      </c>
      <c r="G267" t="s">
        <v>20</v>
      </c>
      <c r="H267" t="s">
        <v>21</v>
      </c>
      <c r="I267" t="s">
        <v>62</v>
      </c>
      <c r="J267" s="6">
        <v>6267000</v>
      </c>
      <c r="K267" s="6">
        <v>205000</v>
      </c>
      <c r="L267" s="6">
        <v>4430054.3412209228</v>
      </c>
      <c r="M267" s="6">
        <v>2857497.3896554899</v>
      </c>
      <c r="N267" s="6">
        <v>1285873.8253449704</v>
      </c>
      <c r="O267" s="6">
        <v>1571623.5643105195</v>
      </c>
      <c r="P267" s="4">
        <v>1</v>
      </c>
      <c r="Q267" s="4">
        <v>0</v>
      </c>
    </row>
    <row r="268" spans="1:17" x14ac:dyDescent="0.35">
      <c r="A268" t="s">
        <v>75</v>
      </c>
      <c r="B268" s="4">
        <v>2022</v>
      </c>
      <c r="C268" s="4">
        <v>3</v>
      </c>
      <c r="D268" s="4">
        <v>2025</v>
      </c>
      <c r="E268" s="5">
        <v>44917</v>
      </c>
      <c r="F268" s="5">
        <v>44972</v>
      </c>
      <c r="G268" t="s">
        <v>20</v>
      </c>
      <c r="H268" t="s">
        <v>21</v>
      </c>
      <c r="I268" t="s">
        <v>62</v>
      </c>
      <c r="J268" s="6">
        <v>6267000</v>
      </c>
      <c r="K268" s="6">
        <v>205000</v>
      </c>
      <c r="L268" s="6">
        <v>4430054.3412209228</v>
      </c>
      <c r="M268" s="6">
        <v>3440709.4480690877</v>
      </c>
      <c r="N268" s="6">
        <v>2064425.6688414526</v>
      </c>
      <c r="O268" s="6">
        <v>1376283.7792276351</v>
      </c>
      <c r="P268" s="4">
        <v>1</v>
      </c>
      <c r="Q268" s="4">
        <v>0</v>
      </c>
    </row>
    <row r="269" spans="1:17" x14ac:dyDescent="0.35">
      <c r="A269" t="s">
        <v>76</v>
      </c>
      <c r="B269" s="4">
        <v>2022</v>
      </c>
      <c r="C269" s="4">
        <v>0</v>
      </c>
      <c r="D269" s="4">
        <v>2025</v>
      </c>
      <c r="E269" s="5">
        <v>44883</v>
      </c>
      <c r="F269" s="5">
        <v>45009</v>
      </c>
      <c r="G269" t="s">
        <v>27</v>
      </c>
      <c r="H269" t="s">
        <v>34</v>
      </c>
      <c r="I269" t="s">
        <v>62</v>
      </c>
      <c r="J269" s="6">
        <v>13586000</v>
      </c>
      <c r="K269" s="6">
        <v>39000</v>
      </c>
      <c r="L269" s="6">
        <v>10539337.97956188</v>
      </c>
      <c r="M269" s="6">
        <v>3001493.0115053095</v>
      </c>
      <c r="N269" s="6">
        <v>300149.30115053098</v>
      </c>
      <c r="O269" s="6">
        <v>2701343.7103547784</v>
      </c>
      <c r="P269" s="4">
        <v>1</v>
      </c>
      <c r="Q269" s="4">
        <v>0</v>
      </c>
    </row>
    <row r="270" spans="1:17" x14ac:dyDescent="0.35">
      <c r="A270" t="s">
        <v>76</v>
      </c>
      <c r="B270" s="4">
        <v>2022</v>
      </c>
      <c r="C270" s="4">
        <v>1</v>
      </c>
      <c r="D270" s="4">
        <v>2025</v>
      </c>
      <c r="E270" s="5">
        <v>44883</v>
      </c>
      <c r="F270" s="5">
        <v>45009</v>
      </c>
      <c r="G270" t="s">
        <v>27</v>
      </c>
      <c r="H270" t="s">
        <v>34</v>
      </c>
      <c r="I270" t="s">
        <v>62</v>
      </c>
      <c r="J270" s="6">
        <v>13586000</v>
      </c>
      <c r="K270" s="6">
        <v>39000</v>
      </c>
      <c r="L270" s="6">
        <v>10539337.97956188</v>
      </c>
      <c r="M270" s="6">
        <v>5300347.0107315816</v>
      </c>
      <c r="N270" s="6">
        <v>1590104.1032194744</v>
      </c>
      <c r="O270" s="6">
        <v>3710242.9075121069</v>
      </c>
      <c r="P270" s="4">
        <v>1</v>
      </c>
      <c r="Q270" s="4">
        <v>0</v>
      </c>
    </row>
    <row r="271" spans="1:17" x14ac:dyDescent="0.35">
      <c r="A271" t="s">
        <v>76</v>
      </c>
      <c r="B271" s="4">
        <v>2022</v>
      </c>
      <c r="C271" s="4">
        <v>2</v>
      </c>
      <c r="D271" s="4">
        <v>2025</v>
      </c>
      <c r="E271" s="5">
        <v>44883</v>
      </c>
      <c r="F271" s="5">
        <v>45009</v>
      </c>
      <c r="G271" t="s">
        <v>27</v>
      </c>
      <c r="H271" t="s">
        <v>34</v>
      </c>
      <c r="I271" t="s">
        <v>62</v>
      </c>
      <c r="J271" s="6">
        <v>13586000</v>
      </c>
      <c r="K271" s="6">
        <v>39000</v>
      </c>
      <c r="L271" s="6">
        <v>10539337.97956188</v>
      </c>
      <c r="M271" s="6">
        <v>7027961.7663997747</v>
      </c>
      <c r="N271" s="6">
        <v>3162582.7948798989</v>
      </c>
      <c r="O271" s="6">
        <v>3865378.9715198758</v>
      </c>
      <c r="P271" s="4">
        <v>1</v>
      </c>
      <c r="Q271" s="4">
        <v>0</v>
      </c>
    </row>
    <row r="272" spans="1:17" x14ac:dyDescent="0.35">
      <c r="A272" t="s">
        <v>76</v>
      </c>
      <c r="B272" s="4">
        <v>2022</v>
      </c>
      <c r="C272" s="4">
        <v>3</v>
      </c>
      <c r="D272" s="4">
        <v>2025</v>
      </c>
      <c r="E272" s="5">
        <v>44883</v>
      </c>
      <c r="F272" s="5">
        <v>45009</v>
      </c>
      <c r="G272" t="s">
        <v>27</v>
      </c>
      <c r="H272" t="s">
        <v>34</v>
      </c>
      <c r="I272" t="s">
        <v>62</v>
      </c>
      <c r="J272" s="6">
        <v>13586000</v>
      </c>
      <c r="K272" s="6">
        <v>39000</v>
      </c>
      <c r="L272" s="6">
        <v>10539337.97956188</v>
      </c>
      <c r="M272" s="6">
        <v>7664791.6022230731</v>
      </c>
      <c r="N272" s="6">
        <v>4598874.9613338439</v>
      </c>
      <c r="O272" s="6">
        <v>3065916.6408892293</v>
      </c>
      <c r="P272" s="4">
        <v>1</v>
      </c>
      <c r="Q272" s="4">
        <v>0</v>
      </c>
    </row>
    <row r="273" spans="1:17" x14ac:dyDescent="0.35">
      <c r="A273" t="s">
        <v>77</v>
      </c>
      <c r="B273" s="4">
        <v>2022</v>
      </c>
      <c r="C273" s="4">
        <v>0</v>
      </c>
      <c r="D273" s="4">
        <v>2025</v>
      </c>
      <c r="E273" s="5">
        <v>44746</v>
      </c>
      <c r="F273" s="5">
        <v>44919</v>
      </c>
      <c r="G273" t="s">
        <v>27</v>
      </c>
      <c r="H273" t="s">
        <v>47</v>
      </c>
      <c r="I273" t="s">
        <v>32</v>
      </c>
      <c r="J273" s="6">
        <v>2698000</v>
      </c>
      <c r="K273" s="6">
        <v>1000</v>
      </c>
      <c r="L273" s="6">
        <v>1116772.6017966189</v>
      </c>
      <c r="M273" s="6">
        <v>330841.92305861186</v>
      </c>
      <c r="N273" s="6">
        <v>33084.192305861186</v>
      </c>
      <c r="O273" s="6">
        <v>297757.73075275065</v>
      </c>
      <c r="P273" s="4">
        <v>1</v>
      </c>
      <c r="Q273" s="4">
        <v>0</v>
      </c>
    </row>
    <row r="274" spans="1:17" x14ac:dyDescent="0.35">
      <c r="A274" t="s">
        <v>77</v>
      </c>
      <c r="B274" s="4">
        <v>2022</v>
      </c>
      <c r="C274" s="4">
        <v>1</v>
      </c>
      <c r="D274" s="4">
        <v>2025</v>
      </c>
      <c r="E274" s="5">
        <v>44746</v>
      </c>
      <c r="F274" s="5">
        <v>44919</v>
      </c>
      <c r="G274" t="s">
        <v>27</v>
      </c>
      <c r="H274" t="s">
        <v>47</v>
      </c>
      <c r="I274" t="s">
        <v>32</v>
      </c>
      <c r="J274" s="6">
        <v>2698000</v>
      </c>
      <c r="K274" s="6">
        <v>1000</v>
      </c>
      <c r="L274" s="6">
        <v>1116772.6017966189</v>
      </c>
      <c r="M274" s="6">
        <v>561024.08100213215</v>
      </c>
      <c r="N274" s="6">
        <v>168307.22430063965</v>
      </c>
      <c r="O274" s="6">
        <v>392716.85670149251</v>
      </c>
      <c r="P274" s="4">
        <v>1</v>
      </c>
      <c r="Q274" s="4">
        <v>0</v>
      </c>
    </row>
    <row r="275" spans="1:17" x14ac:dyDescent="0.35">
      <c r="A275" t="s">
        <v>77</v>
      </c>
      <c r="B275" s="4">
        <v>2022</v>
      </c>
      <c r="C275" s="4">
        <v>2</v>
      </c>
      <c r="D275" s="4">
        <v>2025</v>
      </c>
      <c r="E275" s="5">
        <v>44746</v>
      </c>
      <c r="F275" s="5">
        <v>44919</v>
      </c>
      <c r="G275" t="s">
        <v>27</v>
      </c>
      <c r="H275" t="s">
        <v>47</v>
      </c>
      <c r="I275" t="s">
        <v>32</v>
      </c>
      <c r="J275" s="6">
        <v>2698000</v>
      </c>
      <c r="K275" s="6">
        <v>1000</v>
      </c>
      <c r="L275" s="6">
        <v>1116772.6017966189</v>
      </c>
      <c r="M275" s="6">
        <v>691159.08832941297</v>
      </c>
      <c r="N275" s="6">
        <v>311021.58974823583</v>
      </c>
      <c r="O275" s="6">
        <v>380137.49858117715</v>
      </c>
      <c r="P275" s="4">
        <v>1</v>
      </c>
      <c r="Q275" s="4">
        <v>0</v>
      </c>
    </row>
    <row r="276" spans="1:17" x14ac:dyDescent="0.35">
      <c r="A276" t="s">
        <v>77</v>
      </c>
      <c r="B276" s="4">
        <v>2022</v>
      </c>
      <c r="C276" s="4">
        <v>3</v>
      </c>
      <c r="D276" s="4">
        <v>2025</v>
      </c>
      <c r="E276" s="5">
        <v>44746</v>
      </c>
      <c r="F276" s="5">
        <v>44919</v>
      </c>
      <c r="G276" t="s">
        <v>27</v>
      </c>
      <c r="H276" t="s">
        <v>47</v>
      </c>
      <c r="I276" t="s">
        <v>32</v>
      </c>
      <c r="J276" s="6">
        <v>2698000</v>
      </c>
      <c r="K276" s="6">
        <v>1000</v>
      </c>
      <c r="L276" s="6">
        <v>1116772.6017966189</v>
      </c>
      <c r="M276" s="6">
        <v>841860.41554517043</v>
      </c>
      <c r="N276" s="6">
        <v>505116.24932710221</v>
      </c>
      <c r="O276" s="6">
        <v>336744.16621806822</v>
      </c>
      <c r="P276" s="4">
        <v>1</v>
      </c>
      <c r="Q276" s="4">
        <v>0</v>
      </c>
    </row>
    <row r="277" spans="1:17" x14ac:dyDescent="0.35">
      <c r="A277" t="s">
        <v>78</v>
      </c>
      <c r="B277" s="4">
        <v>2023</v>
      </c>
      <c r="C277" s="4">
        <v>0</v>
      </c>
      <c r="D277" s="4">
        <v>2025</v>
      </c>
      <c r="E277" s="5">
        <v>45205</v>
      </c>
      <c r="F277" s="5">
        <v>45356</v>
      </c>
      <c r="G277" t="s">
        <v>36</v>
      </c>
      <c r="H277" t="s">
        <v>21</v>
      </c>
      <c r="I277" t="s">
        <v>25</v>
      </c>
      <c r="J277" s="6">
        <v>1130000</v>
      </c>
      <c r="K277" s="6">
        <v>100000</v>
      </c>
      <c r="L277" s="6">
        <v>705314.75203787268</v>
      </c>
      <c r="M277" s="6">
        <v>197595.7126281948</v>
      </c>
      <c r="N277" s="6">
        <v>19759.571262819481</v>
      </c>
      <c r="O277" s="6">
        <v>177836.14136537531</v>
      </c>
      <c r="P277" s="4">
        <v>1</v>
      </c>
      <c r="Q277" s="4">
        <v>0</v>
      </c>
    </row>
    <row r="278" spans="1:17" x14ac:dyDescent="0.35">
      <c r="A278" t="s">
        <v>78</v>
      </c>
      <c r="B278" s="4">
        <v>2023</v>
      </c>
      <c r="C278" s="4">
        <v>1</v>
      </c>
      <c r="D278" s="4">
        <v>2025</v>
      </c>
      <c r="E278" s="5">
        <v>45205</v>
      </c>
      <c r="F278" s="5">
        <v>45356</v>
      </c>
      <c r="G278" t="s">
        <v>36</v>
      </c>
      <c r="H278" t="s">
        <v>21</v>
      </c>
      <c r="I278" t="s">
        <v>25</v>
      </c>
      <c r="J278" s="6">
        <v>1130000</v>
      </c>
      <c r="K278" s="6">
        <v>100000</v>
      </c>
      <c r="L278" s="6">
        <v>705314.75203787268</v>
      </c>
      <c r="M278" s="6">
        <v>363151.09715885448</v>
      </c>
      <c r="N278" s="6">
        <v>108945.32914765635</v>
      </c>
      <c r="O278" s="6">
        <v>254205.76801119815</v>
      </c>
      <c r="P278" s="4">
        <v>1</v>
      </c>
      <c r="Q278" s="4">
        <v>0</v>
      </c>
    </row>
    <row r="279" spans="1:17" x14ac:dyDescent="0.35">
      <c r="A279" t="s">
        <v>78</v>
      </c>
      <c r="B279" s="4">
        <v>2023</v>
      </c>
      <c r="C279" s="4">
        <v>2</v>
      </c>
      <c r="D279" s="4">
        <v>2025</v>
      </c>
      <c r="E279" s="5">
        <v>45205</v>
      </c>
      <c r="F279" s="5">
        <v>45356</v>
      </c>
      <c r="G279" t="s">
        <v>36</v>
      </c>
      <c r="H279" t="s">
        <v>21</v>
      </c>
      <c r="I279" t="s">
        <v>25</v>
      </c>
      <c r="J279" s="6">
        <v>1130000</v>
      </c>
      <c r="K279" s="6">
        <v>100000</v>
      </c>
      <c r="L279" s="6">
        <v>705314.75203787268</v>
      </c>
      <c r="M279" s="6">
        <v>452406.76676047698</v>
      </c>
      <c r="N279" s="6">
        <v>203583.04504221465</v>
      </c>
      <c r="O279" s="6">
        <v>248823.72171826233</v>
      </c>
      <c r="P279" s="4">
        <v>1</v>
      </c>
      <c r="Q279" s="4">
        <v>0</v>
      </c>
    </row>
    <row r="280" spans="1:17" x14ac:dyDescent="0.35">
      <c r="A280" t="s">
        <v>79</v>
      </c>
      <c r="B280" s="4">
        <v>2023</v>
      </c>
      <c r="C280" s="4">
        <v>0</v>
      </c>
      <c r="D280" s="4">
        <v>2025</v>
      </c>
      <c r="E280" s="5">
        <v>45081</v>
      </c>
      <c r="F280" s="5">
        <v>45251</v>
      </c>
      <c r="G280" t="s">
        <v>24</v>
      </c>
      <c r="H280" t="s">
        <v>31</v>
      </c>
      <c r="I280" t="s">
        <v>62</v>
      </c>
      <c r="J280" s="6">
        <v>1112000</v>
      </c>
      <c r="K280" s="6">
        <v>176000</v>
      </c>
      <c r="L280" s="6">
        <v>501885.11236345232</v>
      </c>
      <c r="M280" s="6">
        <v>149259.18136583653</v>
      </c>
      <c r="N280" s="6">
        <v>14925.918136583654</v>
      </c>
      <c r="O280" s="6">
        <v>134333.26322925289</v>
      </c>
      <c r="P280" s="4">
        <v>1</v>
      </c>
      <c r="Q280" s="4">
        <v>0</v>
      </c>
    </row>
    <row r="281" spans="1:17" x14ac:dyDescent="0.35">
      <c r="A281" t="s">
        <v>79</v>
      </c>
      <c r="B281" s="4">
        <v>2023</v>
      </c>
      <c r="C281" s="4">
        <v>1</v>
      </c>
      <c r="D281" s="4">
        <v>2025</v>
      </c>
      <c r="E281" s="5">
        <v>45081</v>
      </c>
      <c r="F281" s="5">
        <v>45251</v>
      </c>
      <c r="G281" t="s">
        <v>24</v>
      </c>
      <c r="H281" t="s">
        <v>31</v>
      </c>
      <c r="I281" t="s">
        <v>62</v>
      </c>
      <c r="J281" s="6">
        <v>1112000</v>
      </c>
      <c r="K281" s="6">
        <v>176000</v>
      </c>
      <c r="L281" s="6">
        <v>501885.11236345232</v>
      </c>
      <c r="M281" s="6">
        <v>228391.936914544</v>
      </c>
      <c r="N281" s="6">
        <v>68517.581074363203</v>
      </c>
      <c r="O281" s="6">
        <v>159874.3558401808</v>
      </c>
      <c r="P281" s="4">
        <v>1</v>
      </c>
      <c r="Q281" s="4">
        <v>0</v>
      </c>
    </row>
    <row r="282" spans="1:17" x14ac:dyDescent="0.35">
      <c r="A282" t="s">
        <v>79</v>
      </c>
      <c r="B282" s="4">
        <v>2023</v>
      </c>
      <c r="C282" s="4">
        <v>2</v>
      </c>
      <c r="D282" s="4">
        <v>2025</v>
      </c>
      <c r="E282" s="5">
        <v>45081</v>
      </c>
      <c r="F282" s="5">
        <v>45251</v>
      </c>
      <c r="G282" t="s">
        <v>24</v>
      </c>
      <c r="H282" t="s">
        <v>31</v>
      </c>
      <c r="I282" t="s">
        <v>62</v>
      </c>
      <c r="J282" s="6">
        <v>1112000</v>
      </c>
      <c r="K282" s="6">
        <v>176000</v>
      </c>
      <c r="L282" s="6">
        <v>501885.11236345232</v>
      </c>
      <c r="M282" s="6">
        <v>310984.51585877303</v>
      </c>
      <c r="N282" s="6">
        <v>139943.03213644787</v>
      </c>
      <c r="O282" s="6">
        <v>171041.48372232515</v>
      </c>
      <c r="P282" s="4">
        <v>1</v>
      </c>
      <c r="Q282" s="4">
        <v>0</v>
      </c>
    </row>
    <row r="283" spans="1:17" x14ac:dyDescent="0.35">
      <c r="A283" t="s">
        <v>80</v>
      </c>
      <c r="B283" s="4">
        <v>2023</v>
      </c>
      <c r="C283" s="4">
        <v>0</v>
      </c>
      <c r="D283" s="4">
        <v>2025</v>
      </c>
      <c r="E283" s="5">
        <v>45267</v>
      </c>
      <c r="F283" s="5">
        <v>45361</v>
      </c>
      <c r="G283" t="s">
        <v>24</v>
      </c>
      <c r="H283" t="s">
        <v>34</v>
      </c>
      <c r="I283" t="s">
        <v>32</v>
      </c>
      <c r="J283" s="6">
        <v>1263000</v>
      </c>
      <c r="K283" s="6">
        <v>164000</v>
      </c>
      <c r="L283" s="6">
        <v>963948.59631607973</v>
      </c>
      <c r="M283" s="6">
        <v>284474.17262901721</v>
      </c>
      <c r="N283" s="6">
        <v>28447.417262901723</v>
      </c>
      <c r="O283" s="6">
        <v>256026.75536611548</v>
      </c>
      <c r="P283" s="4">
        <v>1</v>
      </c>
      <c r="Q283" s="4">
        <v>0</v>
      </c>
    </row>
    <row r="284" spans="1:17" x14ac:dyDescent="0.35">
      <c r="A284" t="s">
        <v>80</v>
      </c>
      <c r="B284" s="4">
        <v>2023</v>
      </c>
      <c r="C284" s="4">
        <v>1</v>
      </c>
      <c r="D284" s="4">
        <v>2025</v>
      </c>
      <c r="E284" s="5">
        <v>45267</v>
      </c>
      <c r="F284" s="5">
        <v>45361</v>
      </c>
      <c r="G284" t="s">
        <v>24</v>
      </c>
      <c r="H284" t="s">
        <v>34</v>
      </c>
      <c r="I284" t="s">
        <v>32</v>
      </c>
      <c r="J284" s="6">
        <v>1263000</v>
      </c>
      <c r="K284" s="6">
        <v>164000</v>
      </c>
      <c r="L284" s="6">
        <v>963948.59631607973</v>
      </c>
      <c r="M284" s="6">
        <v>451145.80458883324</v>
      </c>
      <c r="N284" s="6">
        <v>135343.74137664997</v>
      </c>
      <c r="O284" s="6">
        <v>315802.0632121833</v>
      </c>
      <c r="P284" s="4">
        <v>1</v>
      </c>
      <c r="Q284" s="4">
        <v>0</v>
      </c>
    </row>
    <row r="285" spans="1:17" x14ac:dyDescent="0.35">
      <c r="A285" t="s">
        <v>80</v>
      </c>
      <c r="B285" s="4">
        <v>2023</v>
      </c>
      <c r="C285" s="4">
        <v>2</v>
      </c>
      <c r="D285" s="4">
        <v>2025</v>
      </c>
      <c r="E285" s="5">
        <v>45267</v>
      </c>
      <c r="F285" s="5">
        <v>45361</v>
      </c>
      <c r="G285" t="s">
        <v>24</v>
      </c>
      <c r="H285" t="s">
        <v>34</v>
      </c>
      <c r="I285" t="s">
        <v>32</v>
      </c>
      <c r="J285" s="6">
        <v>1263000</v>
      </c>
      <c r="K285" s="6">
        <v>164000</v>
      </c>
      <c r="L285" s="6">
        <v>963948.59631607973</v>
      </c>
      <c r="M285" s="6">
        <v>629910.27464007074</v>
      </c>
      <c r="N285" s="6">
        <v>629910.27464007074</v>
      </c>
      <c r="O285" s="6">
        <v>0</v>
      </c>
      <c r="P285" s="4">
        <v>1</v>
      </c>
      <c r="Q285" s="4">
        <v>1</v>
      </c>
    </row>
    <row r="286" spans="1:17" x14ac:dyDescent="0.35">
      <c r="A286" t="s">
        <v>81</v>
      </c>
      <c r="B286" s="4">
        <v>2023</v>
      </c>
      <c r="C286" s="4">
        <v>0</v>
      </c>
      <c r="D286" s="4">
        <v>2025</v>
      </c>
      <c r="E286" s="5">
        <v>45030</v>
      </c>
      <c r="F286" s="5">
        <v>45060</v>
      </c>
      <c r="G286" t="s">
        <v>24</v>
      </c>
      <c r="H286" t="s">
        <v>42</v>
      </c>
      <c r="I286" t="s">
        <v>22</v>
      </c>
      <c r="J286" s="6">
        <v>11017000</v>
      </c>
      <c r="K286" s="6">
        <v>112000</v>
      </c>
      <c r="L286" s="6">
        <v>4484359.3848051066</v>
      </c>
      <c r="M286" s="6">
        <v>1381904.1825991282</v>
      </c>
      <c r="N286" s="6">
        <v>138190.41825991284</v>
      </c>
      <c r="O286" s="6">
        <v>1243713.7643392154</v>
      </c>
      <c r="P286" s="4">
        <v>1</v>
      </c>
      <c r="Q286" s="4">
        <v>0</v>
      </c>
    </row>
    <row r="287" spans="1:17" x14ac:dyDescent="0.35">
      <c r="A287" t="s">
        <v>81</v>
      </c>
      <c r="B287" s="4">
        <v>2023</v>
      </c>
      <c r="C287" s="4">
        <v>1</v>
      </c>
      <c r="D287" s="4">
        <v>2025</v>
      </c>
      <c r="E287" s="5">
        <v>45030</v>
      </c>
      <c r="F287" s="5">
        <v>45060</v>
      </c>
      <c r="G287" t="s">
        <v>24</v>
      </c>
      <c r="H287" t="s">
        <v>42</v>
      </c>
      <c r="I287" t="s">
        <v>22</v>
      </c>
      <c r="J287" s="6">
        <v>11017000</v>
      </c>
      <c r="K287" s="6">
        <v>112000</v>
      </c>
      <c r="L287" s="6">
        <v>4484359.3848051066</v>
      </c>
      <c r="M287" s="6">
        <v>2272523.0126197706</v>
      </c>
      <c r="N287" s="6">
        <v>681756.90378593118</v>
      </c>
      <c r="O287" s="6">
        <v>1590766.1088338394</v>
      </c>
      <c r="P287" s="4">
        <v>1</v>
      </c>
      <c r="Q287" s="4">
        <v>0</v>
      </c>
    </row>
    <row r="288" spans="1:17" x14ac:dyDescent="0.35">
      <c r="A288" t="s">
        <v>81</v>
      </c>
      <c r="B288" s="4">
        <v>2023</v>
      </c>
      <c r="C288" s="4">
        <v>2</v>
      </c>
      <c r="D288" s="4">
        <v>2025</v>
      </c>
      <c r="E288" s="5">
        <v>45030</v>
      </c>
      <c r="F288" s="5">
        <v>45060</v>
      </c>
      <c r="G288" t="s">
        <v>24</v>
      </c>
      <c r="H288" t="s">
        <v>42</v>
      </c>
      <c r="I288" t="s">
        <v>22</v>
      </c>
      <c r="J288" s="6">
        <v>11017000</v>
      </c>
      <c r="K288" s="6">
        <v>112000</v>
      </c>
      <c r="L288" s="6">
        <v>4484359.3848051066</v>
      </c>
      <c r="M288" s="6">
        <v>2830915.8662405601</v>
      </c>
      <c r="N288" s="6">
        <v>1273912.139808252</v>
      </c>
      <c r="O288" s="6">
        <v>1557003.7264323081</v>
      </c>
      <c r="P288" s="4">
        <v>1</v>
      </c>
      <c r="Q288" s="4">
        <v>0</v>
      </c>
    </row>
    <row r="289" spans="1:17" x14ac:dyDescent="0.35">
      <c r="A289" t="s">
        <v>82</v>
      </c>
      <c r="B289" s="4">
        <v>2023</v>
      </c>
      <c r="C289" s="4">
        <v>0</v>
      </c>
      <c r="D289" s="4">
        <v>2025</v>
      </c>
      <c r="E289" s="5">
        <v>45285</v>
      </c>
      <c r="F289" s="5">
        <v>45359</v>
      </c>
      <c r="G289" t="s">
        <v>20</v>
      </c>
      <c r="H289" t="s">
        <v>28</v>
      </c>
      <c r="I289" t="s">
        <v>51</v>
      </c>
      <c r="J289" s="6">
        <v>1124000</v>
      </c>
      <c r="K289" s="6">
        <v>5000</v>
      </c>
      <c r="L289" s="6">
        <v>808294.45936579839</v>
      </c>
      <c r="M289" s="6">
        <v>256114.17534742219</v>
      </c>
      <c r="N289" s="6">
        <v>25611.417534742221</v>
      </c>
      <c r="O289" s="6">
        <v>230502.75781267998</v>
      </c>
      <c r="P289" s="4">
        <v>1</v>
      </c>
      <c r="Q289" s="4">
        <v>0</v>
      </c>
    </row>
    <row r="290" spans="1:17" x14ac:dyDescent="0.35">
      <c r="A290" t="s">
        <v>82</v>
      </c>
      <c r="B290" s="4">
        <v>2023</v>
      </c>
      <c r="C290" s="4">
        <v>1</v>
      </c>
      <c r="D290" s="4">
        <v>2025</v>
      </c>
      <c r="E290" s="5">
        <v>45285</v>
      </c>
      <c r="F290" s="5">
        <v>45359</v>
      </c>
      <c r="G290" t="s">
        <v>20</v>
      </c>
      <c r="H290" t="s">
        <v>28</v>
      </c>
      <c r="I290" t="s">
        <v>51</v>
      </c>
      <c r="J290" s="6">
        <v>1124000</v>
      </c>
      <c r="K290" s="6">
        <v>5000</v>
      </c>
      <c r="L290" s="6">
        <v>808294.45936579839</v>
      </c>
      <c r="M290" s="6">
        <v>386960.55721686111</v>
      </c>
      <c r="N290" s="6">
        <v>116088.16716505833</v>
      </c>
      <c r="O290" s="6">
        <v>270872.39005180279</v>
      </c>
      <c r="P290" s="4">
        <v>1</v>
      </c>
      <c r="Q290" s="4">
        <v>0</v>
      </c>
    </row>
    <row r="291" spans="1:17" x14ac:dyDescent="0.35">
      <c r="A291" t="s">
        <v>82</v>
      </c>
      <c r="B291" s="4">
        <v>2023</v>
      </c>
      <c r="C291" s="4">
        <v>2</v>
      </c>
      <c r="D291" s="4">
        <v>2025</v>
      </c>
      <c r="E291" s="5">
        <v>45285</v>
      </c>
      <c r="F291" s="5">
        <v>45359</v>
      </c>
      <c r="G291" t="s">
        <v>20</v>
      </c>
      <c r="H291" t="s">
        <v>28</v>
      </c>
      <c r="I291" t="s">
        <v>51</v>
      </c>
      <c r="J291" s="6">
        <v>1124000</v>
      </c>
      <c r="K291" s="6">
        <v>5000</v>
      </c>
      <c r="L291" s="6">
        <v>808294.45936579839</v>
      </c>
      <c r="M291" s="6">
        <v>534875.50375180622</v>
      </c>
      <c r="N291" s="6">
        <v>240693.9766883128</v>
      </c>
      <c r="O291" s="6">
        <v>294181.52706349338</v>
      </c>
      <c r="P291" s="4">
        <v>1</v>
      </c>
      <c r="Q291" s="4">
        <v>0</v>
      </c>
    </row>
    <row r="292" spans="1:17" x14ac:dyDescent="0.35">
      <c r="A292" t="s">
        <v>83</v>
      </c>
      <c r="B292" s="4">
        <v>2024</v>
      </c>
      <c r="C292" s="4">
        <v>0</v>
      </c>
      <c r="D292" s="4">
        <v>2025</v>
      </c>
      <c r="E292" s="5">
        <v>45654</v>
      </c>
      <c r="F292" s="5">
        <v>45655</v>
      </c>
      <c r="G292" t="s">
        <v>41</v>
      </c>
      <c r="H292" t="s">
        <v>34</v>
      </c>
      <c r="I292" t="s">
        <v>39</v>
      </c>
      <c r="J292" s="6">
        <v>5947000</v>
      </c>
      <c r="K292" s="6">
        <v>122000</v>
      </c>
      <c r="L292" s="6">
        <v>4326677.1231856514</v>
      </c>
      <c r="M292" s="6">
        <v>1279190.3248921472</v>
      </c>
      <c r="N292" s="6">
        <v>127919.03248921473</v>
      </c>
      <c r="O292" s="6">
        <v>1151271.2924029324</v>
      </c>
      <c r="P292" s="4">
        <v>1</v>
      </c>
      <c r="Q292" s="4">
        <v>0</v>
      </c>
    </row>
    <row r="293" spans="1:17" x14ac:dyDescent="0.35">
      <c r="A293" t="s">
        <v>83</v>
      </c>
      <c r="B293" s="4">
        <v>2024</v>
      </c>
      <c r="C293" s="4">
        <v>1</v>
      </c>
      <c r="D293" s="4">
        <v>2025</v>
      </c>
      <c r="E293" s="5">
        <v>45654</v>
      </c>
      <c r="F293" s="5">
        <v>45655</v>
      </c>
      <c r="G293" t="s">
        <v>41</v>
      </c>
      <c r="H293" t="s">
        <v>34</v>
      </c>
      <c r="I293" t="s">
        <v>39</v>
      </c>
      <c r="J293" s="6">
        <v>5947000</v>
      </c>
      <c r="K293" s="6">
        <v>122000</v>
      </c>
      <c r="L293" s="6">
        <v>4326677.1231856514</v>
      </c>
      <c r="M293" s="6">
        <v>2169918.7509806701</v>
      </c>
      <c r="N293" s="6">
        <v>650975.62529420096</v>
      </c>
      <c r="O293" s="6">
        <v>1518943.125686469</v>
      </c>
      <c r="P293" s="4">
        <v>1</v>
      </c>
      <c r="Q293" s="4">
        <v>0</v>
      </c>
    </row>
    <row r="294" spans="1:17" x14ac:dyDescent="0.35">
      <c r="A294" t="s">
        <v>84</v>
      </c>
      <c r="B294" s="4">
        <v>2024</v>
      </c>
      <c r="C294" s="4">
        <v>0</v>
      </c>
      <c r="D294" s="4">
        <v>2025</v>
      </c>
      <c r="E294" s="5">
        <v>45462</v>
      </c>
      <c r="F294" s="5">
        <v>45469</v>
      </c>
      <c r="G294" t="s">
        <v>27</v>
      </c>
      <c r="H294" t="s">
        <v>28</v>
      </c>
      <c r="I294" t="s">
        <v>29</v>
      </c>
      <c r="J294" s="6">
        <v>1091000</v>
      </c>
      <c r="K294" s="6">
        <v>34000</v>
      </c>
      <c r="L294" s="6">
        <v>643893.96228069183</v>
      </c>
      <c r="M294" s="6">
        <v>193097.78686136706</v>
      </c>
      <c r="N294" s="6">
        <v>19309.778686136706</v>
      </c>
      <c r="O294" s="6">
        <v>173788.00817523035</v>
      </c>
      <c r="P294" s="4">
        <v>1</v>
      </c>
      <c r="Q294" s="4">
        <v>0</v>
      </c>
    </row>
    <row r="295" spans="1:17" x14ac:dyDescent="0.35">
      <c r="A295" t="s">
        <v>84</v>
      </c>
      <c r="B295" s="4">
        <v>2024</v>
      </c>
      <c r="C295" s="4">
        <v>1</v>
      </c>
      <c r="D295" s="4">
        <v>2025</v>
      </c>
      <c r="E295" s="5">
        <v>45462</v>
      </c>
      <c r="F295" s="5">
        <v>45469</v>
      </c>
      <c r="G295" t="s">
        <v>27</v>
      </c>
      <c r="H295" t="s">
        <v>28</v>
      </c>
      <c r="I295" t="s">
        <v>29</v>
      </c>
      <c r="J295" s="6">
        <v>1091000</v>
      </c>
      <c r="K295" s="6">
        <v>34000</v>
      </c>
      <c r="L295" s="6">
        <v>643893.96228069183</v>
      </c>
      <c r="M295" s="6">
        <v>315045.70552902226</v>
      </c>
      <c r="N295" s="6">
        <v>94513.71165870667</v>
      </c>
      <c r="O295" s="6">
        <v>220531.99387031561</v>
      </c>
      <c r="P295" s="4">
        <v>1</v>
      </c>
      <c r="Q295" s="4">
        <v>0</v>
      </c>
    </row>
    <row r="296" spans="1:17" x14ac:dyDescent="0.35">
      <c r="A296" t="s">
        <v>85</v>
      </c>
      <c r="B296" s="4">
        <v>2024</v>
      </c>
      <c r="C296" s="4">
        <v>0</v>
      </c>
      <c r="D296" s="4">
        <v>2025</v>
      </c>
      <c r="E296" s="5">
        <v>45588</v>
      </c>
      <c r="F296" s="5">
        <v>45665</v>
      </c>
      <c r="G296" t="s">
        <v>24</v>
      </c>
      <c r="H296" t="s">
        <v>47</v>
      </c>
      <c r="I296" t="s">
        <v>62</v>
      </c>
      <c r="J296" s="6">
        <v>6909000</v>
      </c>
      <c r="K296" s="6">
        <v>87000</v>
      </c>
      <c r="L296" s="6">
        <v>4290213.2534248959</v>
      </c>
      <c r="M296" s="6">
        <v>1214464.516698705</v>
      </c>
      <c r="N296" s="6">
        <v>121446.45166987051</v>
      </c>
      <c r="O296" s="6">
        <v>1093018.0650288346</v>
      </c>
      <c r="P296" s="4">
        <v>1</v>
      </c>
      <c r="Q296" s="4">
        <v>0</v>
      </c>
    </row>
    <row r="297" spans="1:17" x14ac:dyDescent="0.35">
      <c r="A297" t="s">
        <v>85</v>
      </c>
      <c r="B297" s="4">
        <v>2024</v>
      </c>
      <c r="C297" s="4">
        <v>1</v>
      </c>
      <c r="D297" s="4">
        <v>2025</v>
      </c>
      <c r="E297" s="5">
        <v>45588</v>
      </c>
      <c r="F297" s="5">
        <v>45665</v>
      </c>
      <c r="G297" t="s">
        <v>24</v>
      </c>
      <c r="H297" t="s">
        <v>47</v>
      </c>
      <c r="I297" t="s">
        <v>62</v>
      </c>
      <c r="J297" s="6">
        <v>6909000</v>
      </c>
      <c r="K297" s="6">
        <v>87000</v>
      </c>
      <c r="L297" s="6">
        <v>4290213.2534248959</v>
      </c>
      <c r="M297" s="6">
        <v>2252170.352442632</v>
      </c>
      <c r="N297" s="6">
        <v>675651.10573278961</v>
      </c>
      <c r="O297" s="6">
        <v>1576519.2467098422</v>
      </c>
      <c r="P297" s="4">
        <v>1</v>
      </c>
      <c r="Q297" s="4">
        <v>0</v>
      </c>
    </row>
    <row r="298" spans="1:17" x14ac:dyDescent="0.35">
      <c r="A298" t="s">
        <v>86</v>
      </c>
      <c r="B298" s="4">
        <v>2024</v>
      </c>
      <c r="C298" s="4">
        <v>0</v>
      </c>
      <c r="D298" s="4">
        <v>2025</v>
      </c>
      <c r="E298" s="5">
        <v>45390</v>
      </c>
      <c r="F298" s="5">
        <v>45412</v>
      </c>
      <c r="G298" t="s">
        <v>41</v>
      </c>
      <c r="H298" t="s">
        <v>47</v>
      </c>
      <c r="I298" t="s">
        <v>51</v>
      </c>
      <c r="J298" s="6">
        <v>2565000</v>
      </c>
      <c r="K298" s="6">
        <v>162000</v>
      </c>
      <c r="L298" s="6">
        <v>1093942.1602493229</v>
      </c>
      <c r="M298" s="6">
        <v>328375.85572374606</v>
      </c>
      <c r="N298" s="6">
        <v>32837.585572374606</v>
      </c>
      <c r="O298" s="6">
        <v>295538.27015137149</v>
      </c>
      <c r="P298" s="4">
        <v>1</v>
      </c>
      <c r="Q298" s="4">
        <v>0</v>
      </c>
    </row>
    <row r="299" spans="1:17" x14ac:dyDescent="0.35">
      <c r="A299" t="s">
        <v>86</v>
      </c>
      <c r="B299" s="4">
        <v>2024</v>
      </c>
      <c r="C299" s="4">
        <v>1</v>
      </c>
      <c r="D299" s="4">
        <v>2025</v>
      </c>
      <c r="E299" s="5">
        <v>45390</v>
      </c>
      <c r="F299" s="5">
        <v>45412</v>
      </c>
      <c r="G299" t="s">
        <v>41</v>
      </c>
      <c r="H299" t="s">
        <v>47</v>
      </c>
      <c r="I299" t="s">
        <v>51</v>
      </c>
      <c r="J299" s="6">
        <v>2565000</v>
      </c>
      <c r="K299" s="6">
        <v>162000</v>
      </c>
      <c r="L299" s="6">
        <v>1093942.1602493229</v>
      </c>
      <c r="M299" s="6">
        <v>567384.80215386185</v>
      </c>
      <c r="N299" s="6">
        <v>170215.44064615856</v>
      </c>
      <c r="O299" s="6">
        <v>397169.36150770332</v>
      </c>
      <c r="P299" s="4">
        <v>1</v>
      </c>
      <c r="Q299" s="4">
        <v>0</v>
      </c>
    </row>
    <row r="300" spans="1:17" x14ac:dyDescent="0.35">
      <c r="A300" t="s">
        <v>87</v>
      </c>
      <c r="B300" s="4">
        <v>2024</v>
      </c>
      <c r="C300" s="4">
        <v>0</v>
      </c>
      <c r="D300" s="4">
        <v>2025</v>
      </c>
      <c r="E300" s="5">
        <v>45343</v>
      </c>
      <c r="F300" s="5">
        <v>45490</v>
      </c>
      <c r="G300" t="s">
        <v>20</v>
      </c>
      <c r="H300" t="s">
        <v>42</v>
      </c>
      <c r="I300" t="s">
        <v>39</v>
      </c>
      <c r="J300" s="6">
        <v>2727000</v>
      </c>
      <c r="K300" s="6">
        <v>211000</v>
      </c>
      <c r="L300" s="6">
        <v>1779646.7321653038</v>
      </c>
      <c r="M300" s="6">
        <v>560667.41868891392</v>
      </c>
      <c r="N300" s="6">
        <v>56066.741868891397</v>
      </c>
      <c r="O300" s="6">
        <v>504600.67682002252</v>
      </c>
      <c r="P300" s="4">
        <v>1</v>
      </c>
      <c r="Q300" s="4">
        <v>0</v>
      </c>
    </row>
    <row r="301" spans="1:17" x14ac:dyDescent="0.35">
      <c r="A301" t="s">
        <v>87</v>
      </c>
      <c r="B301" s="4">
        <v>2024</v>
      </c>
      <c r="C301" s="4">
        <v>1</v>
      </c>
      <c r="D301" s="4">
        <v>2025</v>
      </c>
      <c r="E301" s="5">
        <v>45343</v>
      </c>
      <c r="F301" s="5">
        <v>45490</v>
      </c>
      <c r="G301" t="s">
        <v>20</v>
      </c>
      <c r="H301" t="s">
        <v>42</v>
      </c>
      <c r="I301" t="s">
        <v>39</v>
      </c>
      <c r="J301" s="6">
        <v>2727000</v>
      </c>
      <c r="K301" s="6">
        <v>211000</v>
      </c>
      <c r="L301" s="6">
        <v>1779646.7321653038</v>
      </c>
      <c r="M301" s="6">
        <v>869022.14654871915</v>
      </c>
      <c r="N301" s="6">
        <v>260706.64396461574</v>
      </c>
      <c r="O301" s="6">
        <v>608315.50258410338</v>
      </c>
      <c r="P301" s="4">
        <v>1</v>
      </c>
      <c r="Q301" s="4">
        <v>0</v>
      </c>
    </row>
    <row r="302" spans="1:17" x14ac:dyDescent="0.35">
      <c r="A302" t="s">
        <v>88</v>
      </c>
      <c r="B302" s="4">
        <v>2024</v>
      </c>
      <c r="C302" s="4">
        <v>0</v>
      </c>
      <c r="D302" s="4">
        <v>2025</v>
      </c>
      <c r="E302" s="5">
        <v>45488</v>
      </c>
      <c r="F302" s="5">
        <v>45610</v>
      </c>
      <c r="G302" t="s">
        <v>36</v>
      </c>
      <c r="H302" t="s">
        <v>34</v>
      </c>
      <c r="I302" t="s">
        <v>22</v>
      </c>
      <c r="J302" s="6">
        <v>2932000</v>
      </c>
      <c r="K302" s="6">
        <v>101000</v>
      </c>
      <c r="L302" s="6">
        <v>1579866.6932839253</v>
      </c>
      <c r="M302" s="6">
        <v>474678.25820978865</v>
      </c>
      <c r="N302" s="6">
        <v>47467.825820978869</v>
      </c>
      <c r="O302" s="6">
        <v>427210.4323888098</v>
      </c>
      <c r="P302" s="4">
        <v>1</v>
      </c>
      <c r="Q302" s="4">
        <v>0</v>
      </c>
    </row>
    <row r="303" spans="1:17" x14ac:dyDescent="0.35">
      <c r="A303" t="s">
        <v>88</v>
      </c>
      <c r="B303" s="4">
        <v>2024</v>
      </c>
      <c r="C303" s="4">
        <v>1</v>
      </c>
      <c r="D303" s="4">
        <v>2025</v>
      </c>
      <c r="E303" s="5">
        <v>45488</v>
      </c>
      <c r="F303" s="5">
        <v>45610</v>
      </c>
      <c r="G303" t="s">
        <v>36</v>
      </c>
      <c r="H303" t="s">
        <v>34</v>
      </c>
      <c r="I303" t="s">
        <v>22</v>
      </c>
      <c r="J303" s="6">
        <v>2932000</v>
      </c>
      <c r="K303" s="6">
        <v>101000</v>
      </c>
      <c r="L303" s="6">
        <v>1579866.6932839253</v>
      </c>
      <c r="M303" s="6">
        <v>820918.08194507891</v>
      </c>
      <c r="N303" s="6">
        <v>246275.42458352365</v>
      </c>
      <c r="O303" s="6">
        <v>574642.65736155526</v>
      </c>
      <c r="P303" s="4">
        <v>1</v>
      </c>
      <c r="Q303" s="4">
        <v>0</v>
      </c>
    </row>
    <row r="304" spans="1:17" x14ac:dyDescent="0.35">
      <c r="A304" t="s">
        <v>89</v>
      </c>
      <c r="B304" s="4">
        <v>2024</v>
      </c>
      <c r="C304" s="4">
        <v>0</v>
      </c>
      <c r="D304" s="4">
        <v>2025</v>
      </c>
      <c r="E304" s="5">
        <v>45485</v>
      </c>
      <c r="F304" s="5">
        <v>45504</v>
      </c>
      <c r="G304" t="s">
        <v>36</v>
      </c>
      <c r="H304" t="s">
        <v>42</v>
      </c>
      <c r="I304" t="s">
        <v>37</v>
      </c>
      <c r="J304" s="6">
        <v>1752000</v>
      </c>
      <c r="K304" s="6">
        <v>100000</v>
      </c>
      <c r="L304" s="6">
        <v>1204038.8709976489</v>
      </c>
      <c r="M304" s="6">
        <v>322716.86377524002</v>
      </c>
      <c r="N304" s="6">
        <v>32271.686377524005</v>
      </c>
      <c r="O304" s="6">
        <v>290445.17739771603</v>
      </c>
      <c r="P304" s="4">
        <v>1</v>
      </c>
      <c r="Q304" s="4">
        <v>0</v>
      </c>
    </row>
    <row r="305" spans="1:17" x14ac:dyDescent="0.35">
      <c r="A305" t="s">
        <v>89</v>
      </c>
      <c r="B305" s="4">
        <v>2024</v>
      </c>
      <c r="C305" s="4">
        <v>1</v>
      </c>
      <c r="D305" s="4">
        <v>2025</v>
      </c>
      <c r="E305" s="5">
        <v>45485</v>
      </c>
      <c r="F305" s="5">
        <v>45504</v>
      </c>
      <c r="G305" t="s">
        <v>36</v>
      </c>
      <c r="H305" t="s">
        <v>42</v>
      </c>
      <c r="I305" t="s">
        <v>37</v>
      </c>
      <c r="J305" s="6">
        <v>1752000</v>
      </c>
      <c r="K305" s="6">
        <v>100000</v>
      </c>
      <c r="L305" s="6">
        <v>1204038.8709976489</v>
      </c>
      <c r="M305" s="6">
        <v>638207.24777475256</v>
      </c>
      <c r="N305" s="6">
        <v>191462.17433242575</v>
      </c>
      <c r="O305" s="6">
        <v>446745.0734423268</v>
      </c>
      <c r="P305" s="4">
        <v>1</v>
      </c>
      <c r="Q305" s="4">
        <v>0</v>
      </c>
    </row>
    <row r="306" spans="1:17" x14ac:dyDescent="0.35">
      <c r="A306" t="s">
        <v>90</v>
      </c>
      <c r="B306" s="4">
        <v>2025</v>
      </c>
      <c r="C306" s="4">
        <v>0</v>
      </c>
      <c r="D306" s="4">
        <v>2025</v>
      </c>
      <c r="E306" s="5">
        <v>45680</v>
      </c>
      <c r="F306" s="5">
        <v>45697</v>
      </c>
      <c r="G306" t="s">
        <v>36</v>
      </c>
      <c r="H306" t="s">
        <v>28</v>
      </c>
      <c r="I306" t="s">
        <v>39</v>
      </c>
      <c r="J306" s="6">
        <v>9172000</v>
      </c>
      <c r="K306" s="6">
        <v>81000</v>
      </c>
      <c r="L306" s="6">
        <v>5299894.8763272231</v>
      </c>
      <c r="M306" s="6">
        <v>1629609.9744556597</v>
      </c>
      <c r="N306" s="6">
        <v>162960.997445566</v>
      </c>
      <c r="O306" s="6">
        <v>1466648.9770100936</v>
      </c>
      <c r="P306" s="4">
        <v>1</v>
      </c>
      <c r="Q306" s="4">
        <v>0</v>
      </c>
    </row>
    <row r="307" spans="1:17" x14ac:dyDescent="0.35">
      <c r="A307" t="s">
        <v>91</v>
      </c>
      <c r="B307" s="4">
        <v>2025</v>
      </c>
      <c r="C307" s="4">
        <v>0</v>
      </c>
      <c r="D307" s="4">
        <v>2025</v>
      </c>
      <c r="E307" s="5">
        <v>45683</v>
      </c>
      <c r="F307" s="5">
        <v>45837</v>
      </c>
      <c r="G307" t="s">
        <v>20</v>
      </c>
      <c r="H307" t="s">
        <v>58</v>
      </c>
      <c r="I307" t="s">
        <v>51</v>
      </c>
      <c r="J307" s="6">
        <v>2659000</v>
      </c>
      <c r="K307" s="6">
        <v>89000</v>
      </c>
      <c r="L307" s="6">
        <v>1208033.0068982609</v>
      </c>
      <c r="M307" s="6">
        <v>375387.17909960478</v>
      </c>
      <c r="N307" s="6">
        <v>37538.717909960476</v>
      </c>
      <c r="O307" s="6">
        <v>337848.46118964429</v>
      </c>
      <c r="P307" s="4">
        <v>1</v>
      </c>
      <c r="Q307" s="4">
        <v>0</v>
      </c>
    </row>
    <row r="308" spans="1:17" x14ac:dyDescent="0.35">
      <c r="A308" t="s">
        <v>92</v>
      </c>
      <c r="B308" s="4">
        <v>2025</v>
      </c>
      <c r="C308" s="4">
        <v>0</v>
      </c>
      <c r="D308" s="4">
        <v>2025</v>
      </c>
      <c r="E308" s="5">
        <v>45916</v>
      </c>
      <c r="F308" s="5">
        <v>46086</v>
      </c>
      <c r="G308" t="s">
        <v>36</v>
      </c>
      <c r="H308" t="s">
        <v>58</v>
      </c>
      <c r="I308" t="s">
        <v>39</v>
      </c>
      <c r="J308" s="6">
        <v>1488000</v>
      </c>
      <c r="K308" s="6">
        <v>214000</v>
      </c>
      <c r="L308" s="6">
        <v>592645.54637591634</v>
      </c>
      <c r="M308" s="6">
        <v>179714.12490730506</v>
      </c>
      <c r="N308" s="6">
        <v>17971.412490730505</v>
      </c>
      <c r="O308" s="6">
        <v>161742.71241657456</v>
      </c>
      <c r="P308" s="4">
        <v>1</v>
      </c>
      <c r="Q308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Buergi</dc:creator>
  <cp:lastModifiedBy>Roland Buergi</cp:lastModifiedBy>
  <dcterms:created xsi:type="dcterms:W3CDTF">2026-04-22T07:55:02Z</dcterms:created>
  <dcterms:modified xsi:type="dcterms:W3CDTF">2026-04-22T08:23:48Z</dcterms:modified>
</cp:coreProperties>
</file>